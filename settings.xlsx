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Baltputnis\Dropbox\WORK\!projekti\FLPP_SignAture\WP3\raksts_BESS_MPCE\code_and_simulations\"/>
    </mc:Choice>
  </mc:AlternateContent>
  <xr:revisionPtr revIDLastSave="0" documentId="13_ncr:1_{D25612DC-E3CF-419A-BDE8-10996DF7054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BESS_technical" sheetId="1" r:id="rId1"/>
    <sheet name="BESS_capacity_bids" sheetId="9" r:id="rId2"/>
    <sheet name="List" sheetId="8" state="hidden" r:id="rId3"/>
  </sheets>
  <definedNames>
    <definedName name="_xlnm._FilterDatabase" localSheetId="0" hidden="1">BESS_technical!#REF!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8" i="1" l="1"/>
  <c r="L18" i="1" s="1"/>
  <c r="I18" i="1"/>
  <c r="K18" i="1" s="1"/>
  <c r="J17" i="1"/>
  <c r="L17" i="1" s="1"/>
  <c r="I17" i="1"/>
  <c r="K17" i="1" s="1"/>
  <c r="G3" i="9"/>
  <c r="G4" i="9" s="1" a="1"/>
  <c r="G4" i="9" s="1"/>
  <c r="C3" i="9"/>
  <c r="E4" i="9" s="1" a="1"/>
  <c r="E4" i="9" s="1"/>
  <c r="H100" i="9"/>
  <c r="H99" i="9"/>
  <c r="H98" i="9"/>
  <c r="H97" i="9"/>
  <c r="H96" i="9"/>
  <c r="H95" i="9"/>
  <c r="H94" i="9"/>
  <c r="H93" i="9"/>
  <c r="H92" i="9"/>
  <c r="H91" i="9"/>
  <c r="H90" i="9"/>
  <c r="H89" i="9"/>
  <c r="H88" i="9"/>
  <c r="H87" i="9"/>
  <c r="H86" i="9"/>
  <c r="H85" i="9"/>
  <c r="H84" i="9"/>
  <c r="H83" i="9"/>
  <c r="H82" i="9"/>
  <c r="H81" i="9"/>
  <c r="H80" i="9"/>
  <c r="H79" i="9"/>
  <c r="H78" i="9"/>
  <c r="H77" i="9"/>
  <c r="H76" i="9"/>
  <c r="H75" i="9"/>
  <c r="H74" i="9"/>
  <c r="H73" i="9"/>
  <c r="H72" i="9"/>
  <c r="H71" i="9"/>
  <c r="H70" i="9"/>
  <c r="H69" i="9"/>
  <c r="H68" i="9"/>
  <c r="H67" i="9"/>
  <c r="H66" i="9"/>
  <c r="H65" i="9"/>
  <c r="H64" i="9"/>
  <c r="H63" i="9"/>
  <c r="H62" i="9"/>
  <c r="H61" i="9"/>
  <c r="H60" i="9"/>
  <c r="H59" i="9"/>
  <c r="H58" i="9"/>
  <c r="H57" i="9"/>
  <c r="H56" i="9"/>
  <c r="H55" i="9"/>
  <c r="H54" i="9"/>
  <c r="H53" i="9"/>
  <c r="H52" i="9"/>
  <c r="H51" i="9"/>
  <c r="H50" i="9"/>
  <c r="H49" i="9"/>
  <c r="H48" i="9"/>
  <c r="H47" i="9"/>
  <c r="H46" i="9"/>
  <c r="H45" i="9"/>
  <c r="H44" i="9"/>
  <c r="H43" i="9"/>
  <c r="H42" i="9"/>
  <c r="H41" i="9"/>
  <c r="H40" i="9"/>
  <c r="H39" i="9"/>
  <c r="H38" i="9"/>
  <c r="H37" i="9"/>
  <c r="H36" i="9"/>
  <c r="H35" i="9"/>
  <c r="H34" i="9"/>
  <c r="H33" i="9"/>
  <c r="H32" i="9"/>
  <c r="H31" i="9"/>
  <c r="H30" i="9"/>
  <c r="H29" i="9"/>
  <c r="H28" i="9"/>
  <c r="H27" i="9"/>
  <c r="H26" i="9"/>
  <c r="H25" i="9"/>
  <c r="H24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6" i="9"/>
  <c r="H5" i="9"/>
  <c r="F4" i="8"/>
  <c r="H4" i="9" l="1" a="1"/>
  <c r="H4" i="9" s="1"/>
  <c r="C4" i="9" a="1"/>
  <c r="C4" i="9" s="1"/>
  <c r="I4" i="9" a="1"/>
  <c r="I4" i="9" s="1"/>
  <c r="D4" i="9" a="1"/>
  <c r="D4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tc={AEEA2294-F55D-4DD3-9DEB-6C5013030A70}</author>
    <author>tc={5F45CE98-34B3-4E6C-845D-DE51305C4655}</author>
  </authors>
  <commentList>
    <comment ref="C38" authorId="0" shapeId="0" xr:uid="{AEEA2294-F55D-4DD3-9DEB-6C5013030A70}">
      <text>
        <t>[Threaded comment]
Your version of Excel allows you to read this threaded comment; however, any edits to it will get removed if the file is opened in a newer version of Excel. Learn more: https://go.microsoft.com/fwlink/?linkid=870924
Comment:
    D-1 7:30 - GCT
D-1 8:00 - Results</t>
      </text>
    </comment>
    <comment ref="C39" authorId="1" shapeId="0" xr:uid="{5F45CE98-34B3-4E6C-845D-DE51305C4655}">
      <text>
        <t>[Threaded comment]
Your version of Excel allows you to read this threaded comment; however, any edits to it will get removed if the file is opened in a newer version of Excel. Learn more: https://go.microsoft.com/fwlink/?linkid=870924
Comment:
    D-1 9:00 - GCT
D-1 10:00 - Results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Kārlis Baltputnis</author>
  </authors>
  <commentList>
    <comment ref="D3" authorId="0" shapeId="0" xr:uid="{A7DFEBF6-65E3-CF4F-8408-AF8360F05E53}">
      <text>
        <r>
          <rPr>
            <b/>
            <sz val="9"/>
            <color rgb="FF000000"/>
            <rFont val="Tahoma"/>
            <family val="2"/>
            <charset val="186"/>
          </rPr>
          <t>Kārlis Baltputnis:</t>
        </r>
        <r>
          <rPr>
            <sz val="9"/>
            <color rgb="FF000000"/>
            <rFont val="Tahoma"/>
            <family val="2"/>
            <charset val="186"/>
          </rPr>
          <t xml:space="preserve">
</t>
        </r>
        <r>
          <rPr>
            <sz val="9"/>
            <color rgb="FF000000"/>
            <rFont val="Tahoma"/>
            <family val="2"/>
            <charset val="186"/>
          </rPr>
          <t>TODO: make Excel rule to disallow input in 'BESS-1' and 'BESS-2', if 'fleet' has value.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<sst xmlns="http://schemas.openxmlformats.org/spreadsheetml/2006/main" count="255" uniqueCount="202">
  <si>
    <t>MW</t>
  </si>
  <si>
    <t>MWh</t>
  </si>
  <si>
    <t>%</t>
  </si>
  <si>
    <t>[0–1]</t>
  </si>
  <si>
    <t>BESS_1</t>
  </si>
  <si>
    <t>BESS_2</t>
  </si>
  <si>
    <t>Min cycling per 24 hours</t>
  </si>
  <si>
    <t>Target frequency</t>
  </si>
  <si>
    <t>Hz</t>
  </si>
  <si>
    <t>BESS technical parameters</t>
  </si>
  <si>
    <t>BESS reserve provision settings</t>
  </si>
  <si>
    <t>BESS simulation settings</t>
  </si>
  <si>
    <t>including all components (i.e. [Energy into battery] / [Energy from grid])</t>
  </si>
  <si>
    <t>including all components (i.e. [Energy to grid] / [Energy from battery])</t>
  </si>
  <si>
    <t>Unit</t>
  </si>
  <si>
    <t xml:space="preserve"> </t>
  </si>
  <si>
    <t>Specify the name for the result output files.</t>
  </si>
  <si>
    <t>Min SOC limit / permitted DOD</t>
  </si>
  <si>
    <t>Max SOC limit / permitted DOC</t>
  </si>
  <si>
    <t>Charging efficiency</t>
  </si>
  <si>
    <t>Discharging efficiency</t>
  </si>
  <si>
    <r>
      <t>Rated energy capacity</t>
    </r>
    <r>
      <rPr>
        <sz val="10"/>
        <color theme="1"/>
        <rFont val="Calibri"/>
        <family val="2"/>
        <charset val="186"/>
        <scheme val="minor"/>
      </rPr>
      <t xml:space="preserve"> (discharge = to the grid)</t>
    </r>
  </si>
  <si>
    <t>Initial state of charge</t>
  </si>
  <si>
    <t>Frequency input file</t>
  </si>
  <si>
    <t>FRR activation input file</t>
  </si>
  <si>
    <t>Scenario name for result output</t>
  </si>
  <si>
    <t>minutes before MTU</t>
  </si>
  <si>
    <t>minutes before GCT</t>
  </si>
  <si>
    <t>Reserve market and user settings</t>
  </si>
  <si>
    <t>FRR</t>
  </si>
  <si>
    <t>Intraday</t>
  </si>
  <si>
    <t>FRR capacity</t>
  </si>
  <si>
    <t>FRR energy</t>
  </si>
  <si>
    <t>FCR</t>
  </si>
  <si>
    <t>Capacity market GCT:</t>
  </si>
  <si>
    <t>Energy market GCT:</t>
  </si>
  <si>
    <t>User decision time for bids:</t>
  </si>
  <si>
    <t>FCR capacity</t>
  </si>
  <si>
    <t>Simulation time resolution</t>
  </si>
  <si>
    <t>Intraday bid acceptance probability</t>
  </si>
  <si>
    <t>Power system frequency settings:</t>
  </si>
  <si>
    <t>min</t>
  </si>
  <si>
    <t>aFRR full activation time</t>
  </si>
  <si>
    <t>Storage qualified as LER</t>
  </si>
  <si>
    <t>%/day</t>
  </si>
  <si>
    <t>yes</t>
  </si>
  <si>
    <r>
      <rPr>
        <b/>
        <u/>
        <sz val="10"/>
        <color rgb="FF222F27"/>
        <rFont val="Calibri"/>
        <family val="2"/>
        <scheme val="minor"/>
      </rPr>
      <t>or</t>
    </r>
    <r>
      <rPr>
        <b/>
        <sz val="10"/>
        <color rgb="FF222F27"/>
        <rFont val="Calibri"/>
        <family val="2"/>
        <scheme val="minor"/>
      </rPr>
      <t xml:space="preserve"> BESS fleet</t>
    </r>
  </si>
  <si>
    <t>Comments</t>
  </si>
  <si>
    <t>day before</t>
  </si>
  <si>
    <t xml:space="preserve"> @ hh:mm</t>
  </si>
  <si>
    <t>Minimum duration of full FCR activation by LER</t>
  </si>
  <si>
    <t>Duration of LER transition to reserve mode when providing FCR if the energy reservoir depleted</t>
  </si>
  <si>
    <t>Frequency deadband for FCR activation</t>
  </si>
  <si>
    <t>FCR full activation @ Δf =</t>
  </si>
  <si>
    <t>BESS availability</t>
  </si>
  <si>
    <t>Select "no" if the specific BESS is to be considered unavailable during the simulation</t>
  </si>
  <si>
    <t>cycle/day</t>
  </si>
  <si>
    <t>If "no", provide variable FCR capacity bids for each MTU.</t>
  </si>
  <si>
    <t>Uniform mandatory FCR capacity during the day</t>
  </si>
  <si>
    <t>Uniform mandatory FRR capacity during the day</t>
  </si>
  <si>
    <r>
      <t>Uniform mandatory FCR capacity,</t>
    </r>
    <r>
      <rPr>
        <sz val="10"/>
        <color theme="1"/>
        <rFont val="Calibri"/>
        <family val="2"/>
        <charset val="186"/>
        <scheme val="minor"/>
      </rPr>
      <t xml:space="preserve"> MW</t>
    </r>
  </si>
  <si>
    <t>BESS fleet</t>
  </si>
  <si>
    <t>h</t>
  </si>
  <si>
    <t>LER max recovery time</t>
  </si>
  <si>
    <r>
      <t>Time limit for recovering full FCR capabilities after Alert State (in which t</t>
    </r>
    <r>
      <rPr>
        <vertAlign val="subscript"/>
        <sz val="10"/>
        <color theme="1"/>
        <rFont val="Calibri"/>
        <family val="2"/>
        <charset val="186"/>
        <scheme val="minor"/>
      </rPr>
      <t>minLER</t>
    </r>
    <r>
      <rPr>
        <sz val="10"/>
        <color theme="1"/>
        <rFont val="Calibri"/>
        <family val="2"/>
        <scheme val="minor"/>
      </rPr>
      <t xml:space="preserve"> was met)</t>
    </r>
  </si>
  <si>
    <r>
      <t>t</t>
    </r>
    <r>
      <rPr>
        <vertAlign val="subscript"/>
        <sz val="10"/>
        <color theme="1"/>
        <rFont val="Calibri"/>
        <family val="2"/>
        <charset val="186"/>
        <scheme val="minor"/>
      </rPr>
      <t>minLER</t>
    </r>
  </si>
  <si>
    <t>no</t>
  </si>
  <si>
    <t>Allow voluntary FRR energy bids?</t>
  </si>
  <si>
    <r>
      <t xml:space="preserve">Mandatory FRR UP capacity, </t>
    </r>
    <r>
      <rPr>
        <sz val="10"/>
        <color theme="1"/>
        <rFont val="Calibri"/>
        <family val="2"/>
        <charset val="186"/>
        <scheme val="minor"/>
      </rPr>
      <t>MW</t>
    </r>
  </si>
  <si>
    <r>
      <t xml:space="preserve">Mandatory FRR DOWN capacity, </t>
    </r>
    <r>
      <rPr>
        <sz val="10"/>
        <color theme="1"/>
        <rFont val="Calibri"/>
        <family val="2"/>
        <charset val="186"/>
        <scheme val="minor"/>
      </rPr>
      <t>MW</t>
    </r>
  </si>
  <si>
    <t>n/a</t>
  </si>
  <si>
    <t>capacity (MW) per MTU</t>
  </si>
  <si>
    <t>MTU  1    00:00–00:15</t>
  </si>
  <si>
    <t>MTU  6    01:15–01:30</t>
  </si>
  <si>
    <t>MTU  2    00:15–00:30</t>
  </si>
  <si>
    <t>MTU  3    00:30–00:45</t>
  </si>
  <si>
    <t>MTU  4    00:45–01:00</t>
  </si>
  <si>
    <t>MTU  5    01:00–01:15</t>
  </si>
  <si>
    <t>MTU  7    01:30–01:45</t>
  </si>
  <si>
    <t>MTU  8    01:45–02:00</t>
  </si>
  <si>
    <t>MTU  9    02:00–02:15</t>
  </si>
  <si>
    <t>MTU 10    02:15–02:30</t>
  </si>
  <si>
    <t>MTU 11    02:30–02:45</t>
  </si>
  <si>
    <t>MTU 12    02:45–03:00</t>
  </si>
  <si>
    <t>MTU 13    03:00–03:15</t>
  </si>
  <si>
    <t>MTU 14    03:15–03:30</t>
  </si>
  <si>
    <t>MTU 15    03:30–03:45</t>
  </si>
  <si>
    <t>MTU 16    03:45–04:00</t>
  </si>
  <si>
    <t>MTU 17    04:00–04:15</t>
  </si>
  <si>
    <t>MTU 18    04:15–04:30</t>
  </si>
  <si>
    <t>MTU 19    04:30–04:45</t>
  </si>
  <si>
    <t>MTU 20    04:45–05:00</t>
  </si>
  <si>
    <t>MTU 21    05:00–05:15</t>
  </si>
  <si>
    <t>MTU 22    05:15–05:30</t>
  </si>
  <si>
    <t>MTU 23    05:30–05:45</t>
  </si>
  <si>
    <t>MTU 24    05:45–06:00</t>
  </si>
  <si>
    <t>MTU 25    06:00–06:15</t>
  </si>
  <si>
    <t>MTU 26    06:15–06:30</t>
  </si>
  <si>
    <t>MTU 27    06:30–06:45</t>
  </si>
  <si>
    <t>MTU 28    06:45–07:00</t>
  </si>
  <si>
    <t>MTU 29    07:00–07:15</t>
  </si>
  <si>
    <t>MTU 30    07:15–07:30</t>
  </si>
  <si>
    <t>MTU 31    07:30–07:45</t>
  </si>
  <si>
    <t>MTU 32    07:45–08:00</t>
  </si>
  <si>
    <t>MTU 33    08:00–08:15</t>
  </si>
  <si>
    <t>MTU 34    08:15–08:30</t>
  </si>
  <si>
    <t>MTU 35    08:30–08:45</t>
  </si>
  <si>
    <t>MTU 36    08:45–09:00</t>
  </si>
  <si>
    <t>MTU 37    09:00–09:15</t>
  </si>
  <si>
    <t>MTU 38    09:15–09:30</t>
  </si>
  <si>
    <t>MTU 39    09:30–09:45</t>
  </si>
  <si>
    <t>MTU 40    09:45–10:00</t>
  </si>
  <si>
    <t>MTU 41    10:00–10:15</t>
  </si>
  <si>
    <t>MTU 42    10:15–10:30</t>
  </si>
  <si>
    <t>MTU 43    10:30–10:45</t>
  </si>
  <si>
    <t>MTU 44    10:45–11:00</t>
  </si>
  <si>
    <t>MTU 45    11:00–11:15</t>
  </si>
  <si>
    <t>MTU 46    11:15–11:30</t>
  </si>
  <si>
    <t>MTU 47    11:30–11:45</t>
  </si>
  <si>
    <t>MTU 48    11:45–12:00</t>
  </si>
  <si>
    <t>MTU 49    12:00–12:15</t>
  </si>
  <si>
    <t>MTU 50    12:15–12:30</t>
  </si>
  <si>
    <t>MTU 51    12:30–12:45</t>
  </si>
  <si>
    <t>MTU 52    12:45–13:00</t>
  </si>
  <si>
    <t>MTU 53    13:00–13:15</t>
  </si>
  <si>
    <t>MTU 54    13:15–13:30</t>
  </si>
  <si>
    <t>MTU 55    13:30–13:45</t>
  </si>
  <si>
    <t>MTU 56    13:45–14:00</t>
  </si>
  <si>
    <t>MTU 57    14:00–14:15</t>
  </si>
  <si>
    <t>MTU 58    14:15–14:30</t>
  </si>
  <si>
    <t>MTU 59    14:30–14:45</t>
  </si>
  <si>
    <t>MTU 60    14:45–15:00</t>
  </si>
  <si>
    <t>MTU 61    15:00–15:15</t>
  </si>
  <si>
    <t>MTU 62    15:15–15:30</t>
  </si>
  <si>
    <t>MTU 63    15:30–15:45</t>
  </si>
  <si>
    <t>MTU 64    15:45–16:00</t>
  </si>
  <si>
    <t>MTU 65    16:00–16:15</t>
  </si>
  <si>
    <t>MTU 66    16:15–16:30</t>
  </si>
  <si>
    <t>MTU 67    16:30–16:45</t>
  </si>
  <si>
    <t>MTU 68    16:45–17:00</t>
  </si>
  <si>
    <t>MTU 69    17:00–17:15</t>
  </si>
  <si>
    <t>MTU 70    17:15–17:30</t>
  </si>
  <si>
    <t>MTU 71    17:30–17:45</t>
  </si>
  <si>
    <t>MTU 72    17:45–18:00</t>
  </si>
  <si>
    <t>MTU 73    18:00–18:15</t>
  </si>
  <si>
    <t>MTU 74    18:15–18:30</t>
  </si>
  <si>
    <t>MTU 75    18:30–18:45</t>
  </si>
  <si>
    <t>MTU 76    18:45–19:00</t>
  </si>
  <si>
    <t>MTU 77    19:00–19:15</t>
  </si>
  <si>
    <t>MTU 78    19:15–19:30</t>
  </si>
  <si>
    <t>MTU 79    19:30–19:45</t>
  </si>
  <si>
    <t>MTU 80    19:45–20:00</t>
  </si>
  <si>
    <t>MTU 81    20:00–20:15</t>
  </si>
  <si>
    <t>MTU 82    20:15–20:30</t>
  </si>
  <si>
    <t>MTU 83    20:30–20:45</t>
  </si>
  <si>
    <t>MTU 84    20:45–21:00</t>
  </si>
  <si>
    <t>MTU 85    21:00–21:15</t>
  </si>
  <si>
    <t>MTU 86    21:15–21:30</t>
  </si>
  <si>
    <t>MTU 87    21:30–21:45</t>
  </si>
  <si>
    <t>MTU 88    21:45–22:00</t>
  </si>
  <si>
    <t>MTU 89    22:00–22:15</t>
  </si>
  <si>
    <t>MTU 90    22:15–22:30</t>
  </si>
  <si>
    <t>MTU 91    22:30–22:45</t>
  </si>
  <si>
    <t>MTU 92    22:45–23:00</t>
  </si>
  <si>
    <t>MTU 93    23:00–23:15</t>
  </si>
  <si>
    <t>MTU 94    23:15–23:30</t>
  </si>
  <si>
    <t>MTU 95    23:30–23:45</t>
  </si>
  <si>
    <t>MTU 96    23:45–00:00</t>
  </si>
  <si>
    <t>Market time unit</t>
  </si>
  <si>
    <t>For a uniform FRR, provide the UP capacity for the whole period</t>
  </si>
  <si>
    <t>For a uniform FRR, provide the DOWN capacity for the whole period</t>
  </si>
  <si>
    <t>output to the grid or discharge</t>
  </si>
  <si>
    <t>input from the grid or charge</t>
  </si>
  <si>
    <t>Rated active power for up-reg.</t>
  </si>
  <si>
    <t>Rated active power for down-reg.</t>
  </si>
  <si>
    <r>
      <t xml:space="preserve"> If </t>
    </r>
    <r>
      <rPr>
        <b/>
        <sz val="9"/>
        <color theme="1"/>
        <rFont val="Calibri"/>
        <family val="2"/>
        <scheme val="minor"/>
      </rPr>
      <t>no</t>
    </r>
    <r>
      <rPr>
        <sz val="9"/>
        <color theme="1"/>
        <rFont val="Calibri"/>
        <family val="2"/>
        <scheme val="minor"/>
      </rPr>
      <t xml:space="preserve"> selected, provide variable FCR capacity bids for each MTU in the sheet </t>
    </r>
    <r>
      <rPr>
        <i/>
        <sz val="9"/>
        <color theme="1"/>
        <rFont val="Calibri"/>
        <family val="2"/>
        <scheme val="minor"/>
      </rPr>
      <t>BESS_capacity_bids</t>
    </r>
  </si>
  <si>
    <r>
      <t xml:space="preserve"> If </t>
    </r>
    <r>
      <rPr>
        <b/>
        <sz val="9"/>
        <color theme="1"/>
        <rFont val="Calibri"/>
        <family val="2"/>
        <scheme val="minor"/>
      </rPr>
      <t>no</t>
    </r>
    <r>
      <rPr>
        <sz val="9"/>
        <color theme="1"/>
        <rFont val="Calibri"/>
        <family val="2"/>
        <scheme val="minor"/>
      </rPr>
      <t xml:space="preserve"> selected, provide variable FRR UP and DOWN capacity bids for each MTU in the sheet </t>
    </r>
    <r>
      <rPr>
        <i/>
        <sz val="9"/>
        <color theme="1"/>
        <rFont val="Calibri"/>
        <family val="2"/>
        <scheme val="minor"/>
      </rPr>
      <t>BESS_capacity_bids</t>
    </r>
  </si>
  <si>
    <r>
      <t xml:space="preserve">Reserve provision to be defined for the </t>
    </r>
    <r>
      <rPr>
        <i/>
        <sz val="9"/>
        <color theme="1"/>
        <rFont val="Calibri"/>
        <family val="2"/>
        <scheme val="minor"/>
      </rPr>
      <t>BESS fleet</t>
    </r>
    <r>
      <rPr>
        <sz val="9"/>
        <color theme="1"/>
        <rFont val="Calibri"/>
        <family val="2"/>
        <scheme val="minor"/>
      </rPr>
      <t xml:space="preserve"> </t>
    </r>
    <r>
      <rPr>
        <b/>
        <sz val="9"/>
        <color theme="1"/>
        <rFont val="Calibri"/>
        <family val="2"/>
        <scheme val="minor"/>
      </rPr>
      <t>or</t>
    </r>
    <r>
      <rPr>
        <sz val="9"/>
        <color theme="1"/>
        <rFont val="Calibri"/>
        <family val="2"/>
        <scheme val="minor"/>
      </rPr>
      <t xml:space="preserve"> BESS 1&amp;2 separately. The cells in red should not be left blank</t>
    </r>
  </si>
  <si>
    <r>
      <t xml:space="preserve">Select </t>
    </r>
    <r>
      <rPr>
        <b/>
        <sz val="9"/>
        <color theme="1"/>
        <rFont val="Calibri"/>
        <family val="2"/>
        <scheme val="minor"/>
      </rPr>
      <t xml:space="preserve">n/a </t>
    </r>
    <r>
      <rPr>
        <sz val="9"/>
        <color theme="1"/>
        <rFont val="Calibri"/>
        <family val="2"/>
        <scheme val="minor"/>
      </rPr>
      <t xml:space="preserve">for BESS 1&amp;2 if reserve provision has been defined for the </t>
    </r>
    <r>
      <rPr>
        <i/>
        <sz val="9"/>
        <color theme="1"/>
        <rFont val="Calibri"/>
        <family val="2"/>
        <scheme val="minor"/>
      </rPr>
      <t>BESS fleet,</t>
    </r>
    <r>
      <rPr>
        <sz val="9"/>
        <color theme="1"/>
        <rFont val="Calibri"/>
        <family val="2"/>
        <scheme val="minor"/>
      </rPr>
      <t xml:space="preserve"> and vice versa</t>
    </r>
  </si>
  <si>
    <t>For a uniform FCR, provide the capacity for the whole simulation period</t>
  </si>
  <si>
    <t>including all components (i.e. [Energy to grid] / [Energy from grid])</t>
  </si>
  <si>
    <t>SOC0</t>
  </si>
  <si>
    <t>BESS1</t>
  </si>
  <si>
    <t>BESS2</t>
  </si>
  <si>
    <t>max</t>
  </si>
  <si>
    <t>init_unit</t>
  </si>
  <si>
    <t>Specify the csv, xls or xlsx input file name.</t>
  </si>
  <si>
    <t>LER SOC management strategy</t>
  </si>
  <si>
    <t>Conservative strategy: to fulfill minimum LER requirements; Active strategy: manage SOC like a non-LER resource</t>
  </si>
  <si>
    <t>Round-trip efficiency (AC/AC)</t>
  </si>
  <si>
    <t>losses not included in efficiency, occurring regardless of BESS being idle or active, expressed as % of SOC per day</t>
  </si>
  <si>
    <t>Self-discharge</t>
  </si>
  <si>
    <t>Conservative</t>
  </si>
  <si>
    <t>minimum amount of energy to be discharged within any 24-h period, 1 cycle = sum discharge equal to rated capacity</t>
  </si>
  <si>
    <t>Ensure min cycling?</t>
  </si>
  <si>
    <t>if no, only reports if min cycling has failed to occur; if yes, attempts BESS_1 &lt;-&gt; BESS_2 cycling for min condition</t>
  </si>
  <si>
    <t>BESS_sim.py version 2022.12.20</t>
  </si>
  <si>
    <t>Limited energy reservoir</t>
  </si>
  <si>
    <t>Active</t>
  </si>
  <si>
    <t>FI Active</t>
  </si>
  <si>
    <t>FI_2022_scenario_frequency.csv</t>
  </si>
  <si>
    <t>FI_2022_scenario_FRR.csv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</si>
</sst>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± &quot;0.000"/>
  </numFmts>
  <fonts count="5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86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3"/>
      <color theme="3" tint="-0.499984740745262"/>
      <name val="Calibri"/>
      <family val="2"/>
      <scheme val="minor"/>
    </font>
    <font>
      <b/>
      <sz val="10"/>
      <color theme="3" tint="-0.499984740745262"/>
      <name val="Calibri"/>
      <family val="2"/>
      <scheme val="minor"/>
    </font>
    <font>
      <b/>
      <sz val="11"/>
      <color theme="1"/>
      <name val="Calibri"/>
      <family val="2"/>
      <charset val="186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charset val="186"/>
      <scheme val="minor"/>
    </font>
    <font>
      <b/>
      <sz val="11"/>
      <color theme="1" tint="0.34998626667073579"/>
      <name val="Calibri"/>
      <family val="2"/>
      <charset val="186"/>
      <scheme val="minor"/>
    </font>
    <font>
      <b/>
      <sz val="10"/>
      <color rgb="FF404040"/>
      <name val="Calibri"/>
      <family val="2"/>
      <scheme val="minor"/>
    </font>
    <font>
      <b/>
      <sz val="11"/>
      <color rgb="FF404040"/>
      <name val="Calibri"/>
      <family val="2"/>
      <charset val="186"/>
      <scheme val="minor"/>
    </font>
    <font>
      <sz val="11"/>
      <color rgb="FF404040"/>
      <name val="Calibri"/>
      <family val="2"/>
      <charset val="186"/>
      <scheme val="minor"/>
    </font>
    <font>
      <sz val="10"/>
      <color rgb="FF404040"/>
      <name val="Calibri"/>
      <family val="2"/>
      <scheme val="minor"/>
    </font>
    <font>
      <b/>
      <sz val="10"/>
      <color theme="1" tint="0.34998626667073579"/>
      <name val="Calibri"/>
      <family val="2"/>
      <scheme val="minor"/>
    </font>
    <font>
      <b/>
      <sz val="13"/>
      <color rgb="FF222F27"/>
      <name val="Calibri"/>
      <family val="2"/>
      <scheme val="minor"/>
    </font>
    <font>
      <sz val="10"/>
      <color rgb="FF222F27"/>
      <name val="Calibri"/>
      <family val="2"/>
      <scheme val="minor"/>
    </font>
    <font>
      <b/>
      <sz val="10"/>
      <color rgb="FF222F27"/>
      <name val="Calibri"/>
      <family val="2"/>
      <scheme val="minor"/>
    </font>
    <font>
      <b/>
      <sz val="11"/>
      <color rgb="FF222F27"/>
      <name val="Calibri"/>
      <family val="2"/>
      <scheme val="minor"/>
    </font>
    <font>
      <sz val="11"/>
      <color rgb="FF222F27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charset val="186"/>
      <scheme val="minor"/>
    </font>
    <font>
      <b/>
      <u/>
      <sz val="10"/>
      <color rgb="FF222F27"/>
      <name val="Calibri"/>
      <family val="2"/>
      <scheme val="minor"/>
    </font>
    <font>
      <sz val="11"/>
      <name val="Calibri"/>
      <family val="2"/>
      <charset val="186"/>
      <scheme val="minor"/>
    </font>
    <font>
      <sz val="10"/>
      <color theme="1" tint="0.34998626667073579"/>
      <name val="Calibri"/>
      <family val="2"/>
      <charset val="186"/>
      <scheme val="minor"/>
    </font>
    <font>
      <b/>
      <sz val="9"/>
      <color rgb="FF000000"/>
      <name val="Tahoma"/>
      <family val="2"/>
      <charset val="186"/>
    </font>
    <font>
      <sz val="9"/>
      <color rgb="FF000000"/>
      <name val="Tahoma"/>
      <family val="2"/>
      <charset val="186"/>
    </font>
    <font>
      <vertAlign val="subscript"/>
      <sz val="10"/>
      <color theme="1"/>
      <name val="Calibri"/>
      <family val="2"/>
      <charset val="186"/>
      <scheme val="minor"/>
    </font>
    <font>
      <b/>
      <sz val="10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b/>
      <sz val="10"/>
      <color theme="8" tint="-0.499984740745262"/>
      <name val="Calibri"/>
      <family val="2"/>
      <scheme val="minor"/>
    </font>
    <font>
      <b/>
      <sz val="10"/>
      <color theme="6" tint="-0.499984740745262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b/>
      <sz val="10"/>
      <color theme="7" tint="-0.249977111117893"/>
      <name val="Calibri"/>
      <family val="2"/>
      <scheme val="minor"/>
    </font>
    <font>
      <b/>
      <sz val="10"/>
      <color theme="9" tint="-0.499984740745262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b/>
      <i/>
      <sz val="10"/>
      <color rgb="FF222F27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rgb="FF222F27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0" tint="-4.9989318521683403E-2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sz val="6"/>
      <color rgb="FF00206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BDE9D3"/>
        <bgColor indexed="64"/>
      </patternFill>
    </fill>
    <fill>
      <patternFill patternType="solid">
        <fgColor rgb="FFC6E6F0"/>
        <bgColor indexed="64"/>
      </patternFill>
    </fill>
    <fill>
      <patternFill patternType="solid">
        <fgColor rgb="FFB1DCE9"/>
        <bgColor indexed="64"/>
      </patternFill>
    </fill>
    <fill>
      <patternFill patternType="solid">
        <fgColor theme="3" tint="0.59999389629810485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6"/>
      </left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6" tint="0.59996337778862885"/>
      </top>
      <bottom style="thin">
        <color theme="6" tint="0.59996337778862885"/>
      </bottom>
      <diagonal/>
    </border>
    <border>
      <left/>
      <right/>
      <top/>
      <bottom style="thin">
        <color theme="6" tint="0.59996337778862885"/>
      </bottom>
      <diagonal/>
    </border>
    <border>
      <left/>
      <right style="thin">
        <color theme="0"/>
      </right>
      <top/>
      <bottom style="thick">
        <color theme="6"/>
      </bottom>
      <diagonal/>
    </border>
    <border>
      <left style="thin">
        <color theme="0"/>
      </left>
      <right style="thin">
        <color theme="0"/>
      </right>
      <top/>
      <bottom style="thick">
        <color theme="6"/>
      </bottom>
      <diagonal/>
    </border>
    <border>
      <left style="thin">
        <color theme="0"/>
      </left>
      <right/>
      <top/>
      <bottom style="thick">
        <color theme="6"/>
      </bottom>
      <diagonal/>
    </border>
    <border>
      <left/>
      <right/>
      <top style="thick">
        <color theme="8" tint="0.39994506668294322"/>
      </top>
      <bottom style="thin">
        <color theme="8" tint="0.39994506668294322"/>
      </bottom>
      <diagonal/>
    </border>
    <border>
      <left style="thin">
        <color theme="6"/>
      </left>
      <right/>
      <top style="thick">
        <color theme="8" tint="0.39994506668294322"/>
      </top>
      <bottom style="thin">
        <color theme="8" tint="0.39994506668294322"/>
      </bottom>
      <diagonal/>
    </border>
    <border>
      <left/>
      <right/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6"/>
      </left>
      <right/>
      <top style="thin">
        <color theme="8" tint="0.39994506668294322"/>
      </top>
      <bottom style="thin">
        <color theme="8" tint="0.39994506668294322"/>
      </bottom>
      <diagonal/>
    </border>
    <border>
      <left/>
      <right/>
      <top style="thick">
        <color theme="3" tint="0.39994506668294322"/>
      </top>
      <bottom style="thin">
        <color theme="3" tint="0.39994506668294322"/>
      </bottom>
      <diagonal/>
    </border>
    <border>
      <left/>
      <right/>
      <top style="thin">
        <color theme="3" tint="0.39994506668294322"/>
      </top>
      <bottom style="thin">
        <color theme="3" tint="0.39994506668294322"/>
      </bottom>
      <diagonal/>
    </border>
    <border>
      <left/>
      <right/>
      <top/>
      <bottom style="thin">
        <color theme="3" tint="0.39994506668294322"/>
      </bottom>
      <diagonal/>
    </border>
    <border>
      <left style="thin">
        <color theme="8"/>
      </left>
      <right/>
      <top/>
      <bottom/>
      <diagonal/>
    </border>
    <border>
      <left/>
      <right style="thin">
        <color theme="8"/>
      </right>
      <top/>
      <bottom/>
      <diagonal/>
    </border>
    <border>
      <left style="thin">
        <color theme="8"/>
      </left>
      <right/>
      <top style="thin">
        <color theme="8" tint="0.39994506668294322"/>
      </top>
      <bottom style="thin">
        <color theme="8" tint="0.39994506668294322"/>
      </bottom>
      <diagonal/>
    </border>
    <border>
      <left/>
      <right style="thin">
        <color theme="8"/>
      </right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8"/>
      </left>
      <right/>
      <top style="thick">
        <color theme="8" tint="0.39994506668294322"/>
      </top>
      <bottom/>
      <diagonal/>
    </border>
    <border>
      <left/>
      <right style="thin">
        <color theme="8"/>
      </right>
      <top style="thick">
        <color theme="8" tint="0.39994506668294322"/>
      </top>
      <bottom/>
      <diagonal/>
    </border>
    <border>
      <left style="thin">
        <color theme="8"/>
      </left>
      <right/>
      <top style="thin">
        <color theme="8" tint="0.39994506668294322"/>
      </top>
      <bottom/>
      <diagonal/>
    </border>
    <border>
      <left/>
      <right style="thin">
        <color theme="8"/>
      </right>
      <top style="thin">
        <color theme="8" tint="0.399945066682943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6"/>
      </right>
      <top style="thin">
        <color theme="8" tint="0.39994506668294322"/>
      </top>
      <bottom style="thin">
        <color theme="8" tint="0.39994506668294322"/>
      </bottom>
      <diagonal/>
    </border>
  </borders>
  <cellStyleXfs count="9">
    <xf numFmtId="0" fontId="0" fillId="0" borderId="0"/>
    <xf numFmtId="0" fontId="6" fillId="0" borderId="2" applyNumberFormat="0" applyFill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</cellStyleXfs>
  <cellXfs count="140">
    <xf numFmtId="0" fontId="0" fillId="0" borderId="0" xfId="0"/>
    <xf numFmtId="0" fontId="0" fillId="9" borderId="0" xfId="0" applyFill="1"/>
    <xf numFmtId="0" fontId="1" fillId="9" borderId="0" xfId="0" applyFont="1" applyFill="1"/>
    <xf numFmtId="0" fontId="0" fillId="9" borderId="0" xfId="0" applyFill="1" applyAlignment="1">
      <alignment horizontal="left" indent="1"/>
    </xf>
    <xf numFmtId="0" fontId="5" fillId="9" borderId="0" xfId="2" applyFill="1"/>
    <xf numFmtId="0" fontId="5" fillId="9" borderId="0" xfId="2" applyFill="1" applyAlignment="1">
      <alignment horizontal="right" indent="1"/>
    </xf>
    <xf numFmtId="0" fontId="5" fillId="9" borderId="0" xfId="2" applyFill="1" applyAlignment="1">
      <alignment horizontal="left" indent="1"/>
    </xf>
    <xf numFmtId="0" fontId="10" fillId="9" borderId="0" xfId="0" applyFont="1" applyFill="1" applyAlignment="1">
      <alignment horizontal="left" indent="1"/>
    </xf>
    <xf numFmtId="0" fontId="10" fillId="9" borderId="0" xfId="2" applyFont="1" applyFill="1" applyAlignment="1">
      <alignment horizontal="left" indent="1"/>
    </xf>
    <xf numFmtId="0" fontId="10" fillId="0" borderId="0" xfId="0" applyFont="1" applyAlignment="1">
      <alignment horizontal="left" indent="1"/>
    </xf>
    <xf numFmtId="0" fontId="7" fillId="9" borderId="0" xfId="1" applyFont="1" applyFill="1" applyBorder="1" applyAlignment="1">
      <alignment horizontal="left"/>
    </xf>
    <xf numFmtId="0" fontId="8" fillId="9" borderId="5" xfId="1" applyFont="1" applyFill="1" applyBorder="1" applyAlignment="1">
      <alignment horizontal="right" indent="1"/>
    </xf>
    <xf numFmtId="0" fontId="8" fillId="9" borderId="5" xfId="1" applyFont="1" applyFill="1" applyBorder="1" applyAlignment="1">
      <alignment horizontal="left" indent="1"/>
    </xf>
    <xf numFmtId="0" fontId="18" fillId="9" borderId="0" xfId="1" applyFont="1" applyFill="1" applyBorder="1" applyAlignment="1">
      <alignment horizontal="left"/>
    </xf>
    <xf numFmtId="0" fontId="0" fillId="11" borderId="0" xfId="3" applyFont="1" applyFill="1" applyBorder="1" applyAlignment="1">
      <alignment horizontal="right" indent="1"/>
    </xf>
    <xf numFmtId="0" fontId="0" fillId="2" borderId="6" xfId="2" applyFont="1" applyBorder="1" applyAlignment="1">
      <alignment horizontal="right" indent="1"/>
    </xf>
    <xf numFmtId="0" fontId="0" fillId="3" borderId="6" xfId="3" applyFont="1" applyBorder="1" applyAlignment="1">
      <alignment horizontal="right" indent="1"/>
    </xf>
    <xf numFmtId="0" fontId="0" fillId="11" borderId="6" xfId="3" applyFont="1" applyFill="1" applyBorder="1" applyAlignment="1">
      <alignment horizontal="right" indent="1"/>
    </xf>
    <xf numFmtId="0" fontId="0" fillId="11" borderId="6" xfId="2" applyFont="1" applyFill="1" applyBorder="1" applyAlignment="1">
      <alignment horizontal="right" indent="1"/>
    </xf>
    <xf numFmtId="0" fontId="2" fillId="11" borderId="6" xfId="2" applyFont="1" applyFill="1" applyBorder="1" applyAlignment="1">
      <alignment horizontal="right" indent="1"/>
    </xf>
    <xf numFmtId="0" fontId="22" fillId="9" borderId="0" xfId="0" applyFont="1" applyFill="1"/>
    <xf numFmtId="0" fontId="0" fillId="9" borderId="0" xfId="4" applyFont="1" applyFill="1" applyBorder="1" applyAlignment="1">
      <alignment horizontal="right" indent="1"/>
    </xf>
    <xf numFmtId="0" fontId="10" fillId="9" borderId="0" xfId="4" applyFont="1" applyFill="1" applyBorder="1" applyAlignment="1">
      <alignment horizontal="left" indent="1"/>
    </xf>
    <xf numFmtId="0" fontId="0" fillId="11" borderId="7" xfId="4" applyFont="1" applyFill="1" applyBorder="1" applyAlignment="1">
      <alignment horizontal="right" indent="1"/>
    </xf>
    <xf numFmtId="0" fontId="23" fillId="4" borderId="7" xfId="4" applyFont="1" applyBorder="1" applyAlignment="1">
      <alignment horizontal="right" indent="1"/>
    </xf>
    <xf numFmtId="0" fontId="0" fillId="9" borderId="0" xfId="5" applyFont="1" applyFill="1" applyBorder="1" applyAlignment="1">
      <alignment horizontal="right" indent="1"/>
    </xf>
    <xf numFmtId="0" fontId="10" fillId="9" borderId="0" xfId="5" applyFont="1" applyFill="1" applyBorder="1" applyAlignment="1">
      <alignment horizontal="left" indent="1"/>
    </xf>
    <xf numFmtId="0" fontId="21" fillId="9" borderId="0" xfId="5" applyFont="1" applyFill="1" applyBorder="1" applyAlignment="1">
      <alignment horizontal="right" indent="1"/>
    </xf>
    <xf numFmtId="0" fontId="19" fillId="9" borderId="0" xfId="5" applyFont="1" applyFill="1" applyBorder="1" applyAlignment="1"/>
    <xf numFmtId="0" fontId="0" fillId="2" borderId="0" xfId="2" applyFont="1" applyBorder="1" applyAlignment="1">
      <alignment horizontal="right" indent="1"/>
    </xf>
    <xf numFmtId="0" fontId="0" fillId="3" borderId="0" xfId="3" applyFont="1" applyBorder="1" applyAlignment="1">
      <alignment horizontal="right" indent="1"/>
    </xf>
    <xf numFmtId="0" fontId="18" fillId="9" borderId="1" xfId="1" applyFont="1" applyFill="1" applyBorder="1" applyAlignment="1">
      <alignment horizontal="left"/>
    </xf>
    <xf numFmtId="0" fontId="8" fillId="9" borderId="1" xfId="1" applyFont="1" applyFill="1" applyBorder="1" applyAlignment="1">
      <alignment horizontal="left" indent="1"/>
    </xf>
    <xf numFmtId="0" fontId="0" fillId="11" borderId="8" xfId="4" applyFont="1" applyFill="1" applyBorder="1" applyAlignment="1">
      <alignment horizontal="right" indent="1"/>
    </xf>
    <xf numFmtId="0" fontId="23" fillId="4" borderId="8" xfId="4" applyFont="1" applyBorder="1" applyAlignment="1">
      <alignment horizontal="right" indent="1"/>
    </xf>
    <xf numFmtId="0" fontId="7" fillId="9" borderId="9" xfId="1" applyFont="1" applyFill="1" applyBorder="1" applyAlignment="1">
      <alignment horizontal="left"/>
    </xf>
    <xf numFmtId="0" fontId="20" fillId="9" borderId="10" xfId="1" applyFont="1" applyFill="1" applyBorder="1" applyAlignment="1">
      <alignment horizontal="right" indent="1"/>
    </xf>
    <xf numFmtId="0" fontId="20" fillId="9" borderId="10" xfId="1" applyFont="1" applyFill="1" applyBorder="1" applyAlignment="1">
      <alignment horizontal="left" indent="1"/>
    </xf>
    <xf numFmtId="0" fontId="8" fillId="9" borderId="11" xfId="1" applyFont="1" applyFill="1" applyBorder="1" applyAlignment="1">
      <alignment horizontal="left" indent="1"/>
    </xf>
    <xf numFmtId="0" fontId="0" fillId="11" borderId="12" xfId="6" applyFont="1" applyFill="1" applyBorder="1" applyAlignment="1">
      <alignment horizontal="right" indent="1"/>
    </xf>
    <xf numFmtId="0" fontId="0" fillId="11" borderId="14" xfId="6" applyFont="1" applyFill="1" applyBorder="1" applyAlignment="1">
      <alignment horizontal="right" indent="1"/>
    </xf>
    <xf numFmtId="0" fontId="0" fillId="11" borderId="17" xfId="4" applyFont="1" applyFill="1" applyBorder="1" applyAlignment="1">
      <alignment horizontal="right"/>
    </xf>
    <xf numFmtId="20" fontId="13" fillId="11" borderId="17" xfId="4" applyNumberFormat="1" applyFont="1" applyFill="1" applyBorder="1" applyAlignment="1"/>
    <xf numFmtId="20" fontId="17" fillId="11" borderId="17" xfId="4" applyNumberFormat="1" applyFont="1" applyFill="1" applyBorder="1" applyAlignment="1"/>
    <xf numFmtId="0" fontId="10" fillId="11" borderId="17" xfId="4" applyFont="1" applyFill="1" applyBorder="1" applyAlignment="1">
      <alignment horizontal="left" indent="1"/>
    </xf>
    <xf numFmtId="0" fontId="4" fillId="11" borderId="18" xfId="4" applyFont="1" applyFill="1" applyBorder="1" applyAlignment="1">
      <alignment horizontal="right"/>
    </xf>
    <xf numFmtId="0" fontId="10" fillId="11" borderId="18" xfId="4" applyFont="1" applyFill="1" applyBorder="1" applyAlignment="1">
      <alignment horizontal="left" indent="1"/>
    </xf>
    <xf numFmtId="0" fontId="9" fillId="10" borderId="16" xfId="4" applyFont="1" applyFill="1" applyBorder="1" applyAlignment="1">
      <alignment horizontal="left" vertical="center" indent="16"/>
    </xf>
    <xf numFmtId="20" fontId="14" fillId="10" borderId="16" xfId="4" applyNumberFormat="1" applyFont="1" applyFill="1" applyBorder="1" applyAlignment="1">
      <alignment horizontal="right" indent="1"/>
    </xf>
    <xf numFmtId="20" fontId="15" fillId="10" borderId="16" xfId="4" applyNumberFormat="1" applyFont="1" applyFill="1" applyBorder="1" applyAlignment="1"/>
    <xf numFmtId="20" fontId="12" fillId="10" borderId="16" xfId="4" applyNumberFormat="1" applyFont="1" applyFill="1" applyBorder="1" applyAlignment="1"/>
    <xf numFmtId="0" fontId="10" fillId="10" borderId="16" xfId="4" applyFont="1" applyFill="1" applyBorder="1" applyAlignment="1">
      <alignment horizontal="left" indent="1"/>
    </xf>
    <xf numFmtId="20" fontId="13" fillId="9" borderId="0" xfId="4" applyNumberFormat="1" applyFont="1" applyFill="1" applyBorder="1" applyAlignment="1"/>
    <xf numFmtId="20" fontId="17" fillId="9" borderId="0" xfId="4" applyNumberFormat="1" applyFont="1" applyFill="1" applyBorder="1" applyAlignment="1"/>
    <xf numFmtId="0" fontId="4" fillId="11" borderId="17" xfId="4" applyFont="1" applyFill="1" applyBorder="1" applyAlignment="1">
      <alignment horizontal="right"/>
    </xf>
    <xf numFmtId="20" fontId="16" fillId="11" borderId="17" xfId="4" applyNumberFormat="1" applyFont="1" applyFill="1" applyBorder="1" applyAlignment="1"/>
    <xf numFmtId="0" fontId="9" fillId="10" borderId="18" xfId="4" applyFont="1" applyFill="1" applyBorder="1" applyAlignment="1">
      <alignment horizontal="left" vertical="center" indent="16"/>
    </xf>
    <xf numFmtId="20" fontId="16" fillId="10" borderId="18" xfId="4" applyNumberFormat="1" applyFont="1" applyFill="1" applyBorder="1" applyAlignment="1"/>
    <xf numFmtId="20" fontId="17" fillId="10" borderId="18" xfId="4" applyNumberFormat="1" applyFont="1" applyFill="1" applyBorder="1" applyAlignment="1"/>
    <xf numFmtId="0" fontId="10" fillId="10" borderId="18" xfId="4" applyFont="1" applyFill="1" applyBorder="1" applyAlignment="1">
      <alignment horizontal="left" indent="1"/>
    </xf>
    <xf numFmtId="0" fontId="0" fillId="9" borderId="0" xfId="4" applyFont="1" applyFill="1" applyBorder="1" applyAlignment="1">
      <alignment horizontal="right"/>
    </xf>
    <xf numFmtId="0" fontId="15" fillId="9" borderId="0" xfId="4" applyFont="1" applyFill="1" applyBorder="1" applyAlignment="1">
      <alignment horizontal="left"/>
    </xf>
    <xf numFmtId="0" fontId="12" fillId="9" borderId="0" xfId="4" applyFont="1" applyFill="1" applyBorder="1" applyAlignment="1"/>
    <xf numFmtId="20" fontId="15" fillId="10" borderId="18" xfId="4" applyNumberFormat="1" applyFont="1" applyFill="1" applyBorder="1" applyAlignment="1"/>
    <xf numFmtId="20" fontId="12" fillId="10" borderId="18" xfId="4" applyNumberFormat="1" applyFont="1" applyFill="1" applyBorder="1" applyAlignment="1"/>
    <xf numFmtId="0" fontId="23" fillId="12" borderId="8" xfId="5" applyFont="1" applyFill="1" applyBorder="1" applyAlignment="1">
      <alignment horizontal="right" indent="1"/>
    </xf>
    <xf numFmtId="0" fontId="23" fillId="12" borderId="7" xfId="5" applyFont="1" applyFill="1" applyBorder="1" applyAlignment="1">
      <alignment horizontal="right" indent="1"/>
    </xf>
    <xf numFmtId="20" fontId="24" fillId="11" borderId="18" xfId="4" applyNumberFormat="1" applyFont="1" applyFill="1" applyBorder="1" applyAlignment="1">
      <alignment horizontal="right" indent="1"/>
    </xf>
    <xf numFmtId="20" fontId="24" fillId="11" borderId="17" xfId="4" applyNumberFormat="1" applyFont="1" applyFill="1" applyBorder="1" applyAlignment="1">
      <alignment horizontal="right" indent="1"/>
    </xf>
    <xf numFmtId="20" fontId="24" fillId="9" borderId="0" xfId="4" applyNumberFormat="1" applyFont="1" applyFill="1" applyBorder="1" applyAlignment="1">
      <alignment horizontal="right" indent="1"/>
    </xf>
    <xf numFmtId="20" fontId="24" fillId="10" borderId="18" xfId="4" applyNumberFormat="1" applyFont="1" applyFill="1" applyBorder="1" applyAlignment="1">
      <alignment horizontal="right" indent="1"/>
    </xf>
    <xf numFmtId="0" fontId="24" fillId="11" borderId="17" xfId="4" applyNumberFormat="1" applyFont="1" applyFill="1" applyBorder="1" applyAlignment="1">
      <alignment horizontal="right" indent="1"/>
    </xf>
    <xf numFmtId="0" fontId="24" fillId="9" borderId="0" xfId="4" applyFont="1" applyFill="1" applyBorder="1" applyAlignment="1">
      <alignment horizontal="right" indent="1"/>
    </xf>
    <xf numFmtId="0" fontId="20" fillId="9" borderId="0" xfId="1" applyFont="1" applyFill="1" applyBorder="1" applyAlignment="1">
      <alignment horizontal="center" vertical="center"/>
    </xf>
    <xf numFmtId="0" fontId="4" fillId="14" borderId="12" xfId="8" applyFont="1" applyFill="1" applyBorder="1" applyAlignment="1">
      <alignment horizontal="right" indent="1"/>
    </xf>
    <xf numFmtId="0" fontId="4" fillId="14" borderId="14" xfId="8" applyFont="1" applyFill="1" applyBorder="1" applyAlignment="1">
      <alignment horizontal="right" indent="1"/>
    </xf>
    <xf numFmtId="0" fontId="20" fillId="9" borderId="19" xfId="1" applyFont="1" applyFill="1" applyBorder="1" applyAlignment="1">
      <alignment horizontal="right" vertical="center" indent="1"/>
    </xf>
    <xf numFmtId="0" fontId="20" fillId="9" borderId="20" xfId="1" applyFont="1" applyFill="1" applyBorder="1" applyAlignment="1">
      <alignment horizontal="right" vertical="center" indent="1"/>
    </xf>
    <xf numFmtId="0" fontId="23" fillId="6" borderId="21" xfId="6" applyFont="1" applyBorder="1" applyAlignment="1">
      <alignment horizontal="right" indent="1"/>
    </xf>
    <xf numFmtId="0" fontId="23" fillId="13" borderId="22" xfId="7" applyFont="1" applyFill="1" applyBorder="1" applyAlignment="1">
      <alignment horizontal="right" indent="1"/>
    </xf>
    <xf numFmtId="20" fontId="27" fillId="11" borderId="18" xfId="4" applyNumberFormat="1" applyFont="1" applyFill="1" applyBorder="1" applyAlignment="1">
      <alignment horizontal="center"/>
    </xf>
    <xf numFmtId="20" fontId="16" fillId="11" borderId="18" xfId="4" applyNumberFormat="1" applyFont="1" applyFill="1" applyBorder="1" applyAlignment="1">
      <alignment horizontal="left"/>
    </xf>
    <xf numFmtId="164" fontId="24" fillId="11" borderId="17" xfId="4" applyNumberFormat="1" applyFont="1" applyFill="1" applyBorder="1" applyAlignment="1">
      <alignment horizontal="right" indent="1"/>
    </xf>
    <xf numFmtId="0" fontId="23" fillId="6" borderId="23" xfId="6" applyFont="1" applyBorder="1" applyAlignment="1">
      <alignment horizontal="right" indent="1"/>
    </xf>
    <xf numFmtId="0" fontId="23" fillId="13" borderId="24" xfId="7" applyFont="1" applyFill="1" applyBorder="1" applyAlignment="1">
      <alignment horizontal="right" indent="1"/>
    </xf>
    <xf numFmtId="0" fontId="23" fillId="6" borderId="25" xfId="6" applyFont="1" applyBorder="1" applyAlignment="1">
      <alignment horizontal="right" indent="1"/>
    </xf>
    <xf numFmtId="0" fontId="23" fillId="13" borderId="26" xfId="7" applyFont="1" applyFill="1" applyBorder="1" applyAlignment="1">
      <alignment horizontal="right" indent="1"/>
    </xf>
    <xf numFmtId="0" fontId="23" fillId="15" borderId="0" xfId="0" applyFont="1" applyFill="1" applyAlignment="1">
      <alignment horizontal="right" indent="1"/>
    </xf>
    <xf numFmtId="0" fontId="23" fillId="9" borderId="0" xfId="0" applyFont="1" applyFill="1" applyAlignment="1">
      <alignment horizontal="right" indent="1"/>
    </xf>
    <xf numFmtId="0" fontId="34" fillId="9" borderId="0" xfId="0" applyFont="1" applyFill="1" applyAlignment="1">
      <alignment horizontal="right" wrapText="1"/>
    </xf>
    <xf numFmtId="0" fontId="34" fillId="9" borderId="0" xfId="0" applyFont="1" applyFill="1" applyAlignment="1">
      <alignment horizontal="left"/>
    </xf>
    <xf numFmtId="0" fontId="33" fillId="9" borderId="27" xfId="0" applyFont="1" applyFill="1" applyBorder="1"/>
    <xf numFmtId="0" fontId="37" fillId="9" borderId="0" xfId="0" applyFont="1" applyFill="1" applyAlignment="1">
      <alignment horizontal="right" wrapText="1"/>
    </xf>
    <xf numFmtId="0" fontId="37" fillId="9" borderId="0" xfId="0" applyFont="1" applyFill="1" applyAlignment="1">
      <alignment horizontal="left"/>
    </xf>
    <xf numFmtId="0" fontId="35" fillId="9" borderId="0" xfId="0" applyFont="1" applyFill="1"/>
    <xf numFmtId="0" fontId="23" fillId="15" borderId="0" xfId="0" applyFont="1" applyFill="1"/>
    <xf numFmtId="0" fontId="31" fillId="15" borderId="0" xfId="0" applyFont="1" applyFill="1" applyAlignment="1">
      <alignment horizontal="center"/>
    </xf>
    <xf numFmtId="0" fontId="38" fillId="9" borderId="0" xfId="0" applyFont="1" applyFill="1"/>
    <xf numFmtId="0" fontId="23" fillId="9" borderId="0" xfId="0" applyFont="1" applyFill="1"/>
    <xf numFmtId="0" fontId="23" fillId="9" borderId="28" xfId="0" applyFont="1" applyFill="1" applyBorder="1" applyAlignment="1">
      <alignment horizontal="right" indent="1"/>
    </xf>
    <xf numFmtId="0" fontId="32" fillId="9" borderId="28" xfId="0" applyFont="1" applyFill="1" applyBorder="1"/>
    <xf numFmtId="0" fontId="32" fillId="9" borderId="0" xfId="0" applyFont="1" applyFill="1"/>
    <xf numFmtId="0" fontId="36" fillId="9" borderId="27" xfId="0" applyFont="1" applyFill="1" applyBorder="1" applyAlignment="1">
      <alignment horizontal="right" indent="1"/>
    </xf>
    <xf numFmtId="0" fontId="39" fillId="9" borderId="27" xfId="0" applyFont="1" applyFill="1" applyBorder="1" applyAlignment="1">
      <alignment horizontal="right" indent="1"/>
    </xf>
    <xf numFmtId="0" fontId="40" fillId="9" borderId="0" xfId="1" applyFont="1" applyFill="1" applyBorder="1" applyAlignment="1">
      <alignment horizontal="center" vertical="center"/>
    </xf>
    <xf numFmtId="0" fontId="41" fillId="14" borderId="12" xfId="8" applyFont="1" applyFill="1" applyBorder="1" applyAlignment="1">
      <alignment horizontal="right" indent="1"/>
    </xf>
    <xf numFmtId="0" fontId="41" fillId="14" borderId="14" xfId="8" applyFont="1" applyFill="1" applyBorder="1" applyAlignment="1">
      <alignment horizontal="right" indent="1"/>
    </xf>
    <xf numFmtId="0" fontId="42" fillId="11" borderId="0" xfId="3" applyFont="1" applyFill="1" applyBorder="1" applyAlignment="1">
      <alignment horizontal="left" indent="1"/>
    </xf>
    <xf numFmtId="0" fontId="42" fillId="11" borderId="6" xfId="3" applyFont="1" applyFill="1" applyBorder="1" applyAlignment="1">
      <alignment horizontal="left" indent="1"/>
    </xf>
    <xf numFmtId="0" fontId="43" fillId="11" borderId="6" xfId="2" applyFont="1" applyFill="1" applyBorder="1" applyAlignment="1">
      <alignment horizontal="left" indent="1"/>
    </xf>
    <xf numFmtId="0" fontId="42" fillId="11" borderId="6" xfId="2" applyFont="1" applyFill="1" applyBorder="1" applyAlignment="1">
      <alignment horizontal="left" indent="1"/>
    </xf>
    <xf numFmtId="0" fontId="42" fillId="11" borderId="3" xfId="3" applyFont="1" applyFill="1" applyBorder="1" applyAlignment="1">
      <alignment horizontal="left" indent="1"/>
    </xf>
    <xf numFmtId="0" fontId="44" fillId="11" borderId="0" xfId="3" applyFont="1" applyFill="1" applyBorder="1" applyAlignment="1">
      <alignment horizontal="left" indent="1"/>
    </xf>
    <xf numFmtId="0" fontId="44" fillId="11" borderId="6" xfId="3" applyFont="1" applyFill="1" applyBorder="1" applyAlignment="1">
      <alignment horizontal="left" indent="1"/>
    </xf>
    <xf numFmtId="0" fontId="44" fillId="11" borderId="6" xfId="2" applyFont="1" applyFill="1" applyBorder="1" applyAlignment="1">
      <alignment horizontal="left" indent="1"/>
    </xf>
    <xf numFmtId="0" fontId="44" fillId="11" borderId="3" xfId="3" applyFont="1" applyFill="1" applyBorder="1" applyAlignment="1">
      <alignment horizontal="left" indent="1"/>
    </xf>
    <xf numFmtId="0" fontId="44" fillId="11" borderId="8" xfId="4" applyFont="1" applyFill="1" applyBorder="1" applyAlignment="1">
      <alignment horizontal="left" indent="1"/>
    </xf>
    <xf numFmtId="0" fontId="42" fillId="11" borderId="8" xfId="4" applyFont="1" applyFill="1" applyBorder="1" applyAlignment="1">
      <alignment horizontal="left" indent="1"/>
    </xf>
    <xf numFmtId="0" fontId="44" fillId="11" borderId="7" xfId="4" applyFont="1" applyFill="1" applyBorder="1" applyAlignment="1">
      <alignment horizontal="left" indent="1"/>
    </xf>
    <xf numFmtId="0" fontId="42" fillId="11" borderId="7" xfId="4" applyFont="1" applyFill="1" applyBorder="1" applyAlignment="1">
      <alignment horizontal="left" indent="1"/>
    </xf>
    <xf numFmtId="0" fontId="44" fillId="11" borderId="7" xfId="4" applyFont="1" applyFill="1" applyBorder="1" applyAlignment="1">
      <alignment horizontal="left"/>
    </xf>
    <xf numFmtId="0" fontId="42" fillId="9" borderId="0" xfId="0" applyFont="1" applyFill="1" applyAlignment="1">
      <alignment horizontal="left" indent="1"/>
    </xf>
    <xf numFmtId="0" fontId="42" fillId="9" borderId="4" xfId="1" applyFont="1" applyFill="1" applyBorder="1" applyAlignment="1">
      <alignment horizontal="left" vertical="center" indent="1"/>
    </xf>
    <xf numFmtId="0" fontId="42" fillId="11" borderId="13" xfId="6" applyFont="1" applyFill="1" applyBorder="1" applyAlignment="1">
      <alignment horizontal="left" indent="1"/>
    </xf>
    <xf numFmtId="0" fontId="42" fillId="11" borderId="15" xfId="6" applyFont="1" applyFill="1" applyBorder="1" applyAlignment="1">
      <alignment horizontal="left" indent="1"/>
    </xf>
    <xf numFmtId="0" fontId="47" fillId="11" borderId="15" xfId="6" applyFont="1" applyFill="1" applyBorder="1" applyAlignment="1">
      <alignment horizontal="left" indent="1"/>
    </xf>
    <xf numFmtId="0" fontId="41" fillId="14" borderId="29" xfId="8" applyFont="1" applyFill="1" applyBorder="1" applyAlignment="1">
      <alignment horizontal="right" indent="1"/>
    </xf>
    <xf numFmtId="0" fontId="48" fillId="9" borderId="0" xfId="4" applyFont="1" applyFill="1" applyBorder="1" applyAlignment="1">
      <alignment horizontal="right" indent="1"/>
    </xf>
    <xf numFmtId="0" fontId="49" fillId="9" borderId="0" xfId="4" applyFont="1" applyFill="1" applyBorder="1"/>
    <xf numFmtId="0" fontId="49" fillId="9" borderId="0" xfId="4" applyFont="1" applyFill="1" applyBorder="1" applyAlignment="1">
      <alignment horizontal="left" indent="1"/>
    </xf>
    <xf numFmtId="0" fontId="48" fillId="9" borderId="0" xfId="4" applyFont="1" applyFill="1" applyBorder="1" applyAlignment="1">
      <alignment horizontal="right"/>
    </xf>
    <xf numFmtId="0" fontId="50" fillId="9" borderId="0" xfId="0" applyFont="1" applyFill="1"/>
    <xf numFmtId="0" fontId="41" fillId="11" borderId="6" xfId="2" applyFont="1" applyFill="1" applyBorder="1" applyAlignment="1">
      <alignment horizontal="right" indent="1"/>
    </xf>
    <xf numFmtId="0" fontId="41" fillId="11" borderId="3" xfId="3" applyFont="1" applyFill="1" applyBorder="1" applyAlignment="1">
      <alignment horizontal="right" indent="1"/>
    </xf>
    <xf numFmtId="0" fontId="0" fillId="2" borderId="3" xfId="2" applyFont="1" applyBorder="1" applyAlignment="1">
      <alignment horizontal="right" indent="1"/>
    </xf>
    <xf numFmtId="0" fontId="0" fillId="3" borderId="3" xfId="3" applyFont="1" applyBorder="1" applyAlignment="1">
      <alignment horizontal="right" indent="1"/>
    </xf>
    <xf numFmtId="0" fontId="41" fillId="11" borderId="0" xfId="3" applyFont="1" applyFill="1" applyBorder="1" applyAlignment="1">
      <alignment horizontal="right" indent="1"/>
    </xf>
    <xf numFmtId="0" fontId="0" fillId="2" borderId="6" xfId="2" applyFont="1" applyBorder="1" applyAlignment="1">
      <alignment horizontal="center"/>
    </xf>
    <xf numFmtId="0" fontId="23" fillId="4" borderId="7" xfId="4" applyFont="1" applyBorder="1" applyAlignment="1">
      <alignment horizontal="left" indent="1"/>
    </xf>
    <xf numFmtId="0" fontId="26" fillId="4" borderId="7" xfId="4" applyFont="1" applyBorder="1" applyAlignment="1">
      <alignment horizontal="right" indent="1"/>
    </xf>
  </cellXfs>
  <cellStyles count="9">
    <cellStyle name="20% - Accent1" xfId="2" builtinId="30"/>
    <cellStyle name="20% - Accent3" xfId="4" builtinId="38"/>
    <cellStyle name="20% - Accent5" xfId="6" builtinId="46"/>
    <cellStyle name="40% - Accent1" xfId="3" builtinId="31"/>
    <cellStyle name="40% - Accent3" xfId="5" builtinId="39"/>
    <cellStyle name="40% - Accent5" xfId="7" builtinId="47"/>
    <cellStyle name="60% - Accent5" xfId="8" builtinId="48"/>
    <cellStyle name="Heading 2" xfId="1" builtinId="17"/>
    <cellStyle name="Normal" xfId="0" builtinId="0"/>
  </cellStyles>
  <dxfs count="39"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strike val="0"/>
        <color theme="1"/>
      </font>
    </dxf>
    <dxf>
      <font>
        <color auto="1"/>
      </font>
      <fill>
        <patternFill>
          <bgColor rgb="FFFFCCCC"/>
        </patternFill>
      </fill>
    </dxf>
    <dxf>
      <font>
        <color auto="1"/>
      </font>
      <fill>
        <patternFill>
          <bgColor rgb="FFFFCCCC"/>
        </patternFill>
      </fill>
    </dxf>
    <dxf>
      <font>
        <color auto="1"/>
      </font>
      <fill>
        <patternFill>
          <bgColor rgb="FFFFCCCC"/>
        </patternFill>
      </fill>
    </dxf>
    <dxf>
      <font>
        <color auto="1"/>
      </font>
      <fill>
        <patternFill>
          <bgColor rgb="FFFFCCCC"/>
        </patternFill>
      </fill>
    </dxf>
    <dxf>
      <font>
        <color auto="1"/>
      </font>
      <fill>
        <patternFill>
          <bgColor rgb="FFFFCCCC"/>
        </patternFill>
      </fill>
    </dxf>
    <dxf>
      <font>
        <color auto="1"/>
      </font>
      <fill>
        <patternFill>
          <bgColor rgb="FFFFCCCC"/>
        </patternFill>
      </fill>
    </dxf>
    <dxf>
      <font>
        <strike val="0"/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bgColor rgb="FFBDE9D3"/>
        </patternFill>
      </fill>
    </dxf>
    <dxf>
      <font>
        <color theme="0" tint="-0.34998626667073579"/>
      </font>
      <fill>
        <patternFill>
          <bgColor theme="0" tint="-0.34998626667073579"/>
        </patternFill>
      </fill>
    </dxf>
    <dxf>
      <font>
        <color theme="0" tint="-0.34998626667073579"/>
      </font>
      <fill>
        <patternFill>
          <bgColor theme="0" tint="-0.34998626667073579"/>
        </patternFill>
      </fill>
    </dxf>
    <dxf>
      <fill>
        <patternFill>
          <bgColor rgb="FFFFC7CE"/>
        </patternFill>
      </fill>
    </dxf>
    <dxf>
      <font>
        <color theme="0" tint="-0.34998626667073579"/>
      </font>
      <fill>
        <patternFill patternType="solid">
          <bgColor theme="0" tint="-0.34998626667073579"/>
        </patternFill>
      </fill>
      <border>
        <vertical/>
        <horizontal/>
      </border>
    </dxf>
    <dxf>
      <font>
        <color theme="0" tint="-0.34998626667073579"/>
      </font>
      <fill>
        <patternFill patternType="solid">
          <fgColor theme="1" tint="0.499984740745262"/>
          <bgColor theme="0" tint="-0.34998626667073579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  <fill>
        <patternFill>
          <bgColor theme="6" tint="0.79998168889431442"/>
        </patternFill>
      </fill>
    </dxf>
    <dxf>
      <font>
        <color theme="0" tint="-0.34998626667073579"/>
      </font>
      <fill>
        <patternFill>
          <bgColor theme="0" tint="-0.34998626667073579"/>
        </patternFill>
      </fill>
    </dxf>
    <dxf>
      <font>
        <color theme="0" tint="-0.34998626667073579"/>
      </font>
      <fill>
        <patternFill>
          <bgColor theme="0" tint="-0.34998626667073579"/>
        </patternFill>
      </fill>
    </dxf>
    <dxf>
      <font>
        <color theme="0"/>
      </font>
      <fill>
        <patternFill>
          <bgColor theme="0"/>
        </patternFill>
      </fill>
    </dxf>
    <dxf>
      <font>
        <color theme="1"/>
      </font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FF9B9B"/>
      <color rgb="FFBDE9D3"/>
      <color rgb="FFFFC7CE"/>
      <color rgb="FFFF9999"/>
      <color rgb="FFFFCCCC"/>
      <color rgb="FFFF9129"/>
      <color rgb="FFB1DCE9"/>
      <color rgb="FFA4D6E6"/>
      <color rgb="FFC6E6F0"/>
      <color rgb="FF222F2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unārs Cingels" id="{58650315-2FBA-4BC4-97C3-9C3EEDCC99C9}" userId="S::gcingels@tso.lv::b11fc64d-95cf-4f3f-aa7d-eb6b33bb9ab8" providerId="AD"/>
</personList>
</file>

<file path=xl/theme/theme1.xml><?xml version="1.0" encoding="utf-8"?>
<a:theme xmlns:a="http://schemas.openxmlformats.org/drawingml/2006/main" name="Office Theme">
  <a:themeElements>
    <a:clrScheme name="Green Yellow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8" dT="2022-09-29T07:43:02.72" personId="{58650315-2FBA-4BC4-97C3-9C3EEDCC99C9}" id="{AEEA2294-F55D-4DD3-9DEB-6C5013030A70}">
    <text>D-1 7:30 - GCT
D-1 8:00 - Results</text>
  </threadedComment>
  <threadedComment ref="C39" dT="2022-09-29T07:43:57.45" personId="{58650315-2FBA-4BC4-97C3-9C3EEDCC99C9}" id="{5F45CE98-34B3-4E6C-845D-DE51305C4655}">
    <text>D-1 9:00 - GCT
D-1 10:00 - Results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60"/>
  <sheetViews>
    <sheetView tabSelected="1" topLeftCell="A21" zoomScale="130" zoomScaleNormal="130" workbookViewId="0">
      <selection activeCell="D27" sqref="D27"/>
    </sheetView>
  </sheetViews>
  <sheetFormatPr defaultColWidth="0" defaultRowHeight="15" zeroHeight="1" outlineLevelRow="1" x14ac:dyDescent="0.25"/>
  <cols>
    <col min="1" max="1" width="2.7109375" customWidth="1"/>
    <col min="2" max="2" width="44.7109375" customWidth="1"/>
    <col min="3" max="4" width="11.5703125" customWidth="1"/>
    <col min="5" max="5" width="8.7109375" customWidth="1"/>
    <col min="6" max="6" width="87.28515625" style="9" customWidth="1"/>
    <col min="7" max="7" width="2.7109375" customWidth="1"/>
    <col min="8" max="16384" width="8.7109375" hidden="1"/>
  </cols>
  <sheetData>
    <row r="1" spans="1:12" x14ac:dyDescent="0.25">
      <c r="A1" s="1"/>
      <c r="B1" s="131" t="s">
        <v>196</v>
      </c>
      <c r="C1" s="1"/>
      <c r="D1" s="1"/>
      <c r="E1" s="1"/>
      <c r="F1" s="7"/>
      <c r="G1" s="1"/>
    </row>
    <row r="2" spans="1:12" x14ac:dyDescent="0.25">
      <c r="A2" s="1"/>
      <c r="B2" s="1"/>
      <c r="C2" s="1"/>
      <c r="D2" s="1"/>
      <c r="E2" s="1"/>
      <c r="F2" s="7"/>
      <c r="G2" s="1"/>
    </row>
    <row r="3" spans="1:12" ht="18" thickBot="1" x14ac:dyDescent="0.35">
      <c r="A3" s="1"/>
      <c r="B3" s="31" t="s">
        <v>9</v>
      </c>
      <c r="C3" s="32" t="s">
        <v>4</v>
      </c>
      <c r="D3" s="32" t="s">
        <v>5</v>
      </c>
      <c r="E3" s="32" t="s">
        <v>14</v>
      </c>
      <c r="F3" s="32" t="s">
        <v>47</v>
      </c>
      <c r="G3" s="1"/>
    </row>
    <row r="4" spans="1:12" ht="15" customHeight="1" thickTop="1" x14ac:dyDescent="0.25">
      <c r="B4" s="14" t="s">
        <v>173</v>
      </c>
      <c r="C4" s="29">
        <v>80</v>
      </c>
      <c r="D4" s="30">
        <v>60</v>
      </c>
      <c r="E4" s="112" t="s">
        <v>0</v>
      </c>
      <c r="F4" s="107" t="s">
        <v>171</v>
      </c>
      <c r="G4" s="1"/>
    </row>
    <row r="5" spans="1:12" ht="15" customHeight="1" x14ac:dyDescent="0.25">
      <c r="A5" s="1"/>
      <c r="B5" s="17" t="s">
        <v>174</v>
      </c>
      <c r="C5" s="15">
        <v>80</v>
      </c>
      <c r="D5" s="16">
        <v>60</v>
      </c>
      <c r="E5" s="113" t="s">
        <v>0</v>
      </c>
      <c r="F5" s="108" t="s">
        <v>172</v>
      </c>
      <c r="G5" s="1"/>
    </row>
    <row r="6" spans="1:12" ht="15" customHeight="1" x14ac:dyDescent="0.25">
      <c r="A6" s="1"/>
      <c r="B6" s="18" t="s">
        <v>21</v>
      </c>
      <c r="C6" s="15">
        <v>160</v>
      </c>
      <c r="D6" s="16">
        <v>120</v>
      </c>
      <c r="E6" s="114" t="s">
        <v>1</v>
      </c>
      <c r="F6" s="109"/>
      <c r="G6" s="1"/>
    </row>
    <row r="7" spans="1:12" ht="15" customHeight="1" x14ac:dyDescent="0.25">
      <c r="A7" s="1"/>
      <c r="B7" s="17" t="s">
        <v>17</v>
      </c>
      <c r="C7" s="15">
        <v>10</v>
      </c>
      <c r="D7" s="16">
        <v>10</v>
      </c>
      <c r="E7" s="113" t="s">
        <v>2</v>
      </c>
      <c r="F7" s="108"/>
      <c r="G7" s="1"/>
    </row>
    <row r="8" spans="1:12" ht="15" customHeight="1" x14ac:dyDescent="0.25">
      <c r="A8" s="1"/>
      <c r="B8" s="17" t="s">
        <v>18</v>
      </c>
      <c r="C8" s="15">
        <v>90</v>
      </c>
      <c r="D8" s="16">
        <v>90</v>
      </c>
      <c r="E8" s="113" t="s">
        <v>2</v>
      </c>
      <c r="F8" s="108"/>
      <c r="G8" s="1"/>
    </row>
    <row r="9" spans="1:12" ht="15" customHeight="1" x14ac:dyDescent="0.25">
      <c r="A9" s="1"/>
      <c r="B9" s="18" t="s">
        <v>19</v>
      </c>
      <c r="C9" s="15">
        <v>0.95</v>
      </c>
      <c r="D9" s="16">
        <v>0.95</v>
      </c>
      <c r="E9" s="114" t="s">
        <v>3</v>
      </c>
      <c r="F9" s="110" t="s">
        <v>12</v>
      </c>
      <c r="G9" s="1"/>
    </row>
    <row r="10" spans="1:12" ht="15" customHeight="1" x14ac:dyDescent="0.25">
      <c r="A10" s="1"/>
      <c r="B10" s="18" t="s">
        <v>20</v>
      </c>
      <c r="C10" s="15">
        <v>0.95</v>
      </c>
      <c r="D10" s="16">
        <v>0.95</v>
      </c>
      <c r="E10" s="114" t="s">
        <v>3</v>
      </c>
      <c r="F10" s="110" t="s">
        <v>13</v>
      </c>
      <c r="G10" s="1"/>
    </row>
    <row r="11" spans="1:12" ht="15" customHeight="1" x14ac:dyDescent="0.25">
      <c r="A11" s="1"/>
      <c r="B11" s="132" t="s">
        <v>189</v>
      </c>
      <c r="C11" s="15"/>
      <c r="D11" s="16"/>
      <c r="E11" s="114" t="s">
        <v>3</v>
      </c>
      <c r="F11" s="110" t="s">
        <v>180</v>
      </c>
      <c r="G11" s="1"/>
    </row>
    <row r="12" spans="1:12" ht="15" customHeight="1" x14ac:dyDescent="0.25">
      <c r="A12" s="1"/>
      <c r="B12" s="19" t="s">
        <v>191</v>
      </c>
      <c r="C12" s="134">
        <v>0.08</v>
      </c>
      <c r="D12" s="135">
        <v>0.08</v>
      </c>
      <c r="E12" s="114" t="s">
        <v>44</v>
      </c>
      <c r="F12" s="110" t="s">
        <v>190</v>
      </c>
      <c r="G12" s="1"/>
    </row>
    <row r="13" spans="1:12" ht="15" customHeight="1" x14ac:dyDescent="0.25">
      <c r="A13" s="1"/>
      <c r="B13" s="133" t="s">
        <v>6</v>
      </c>
      <c r="C13" s="134"/>
      <c r="D13" s="135"/>
      <c r="E13" s="115" t="s">
        <v>56</v>
      </c>
      <c r="F13" s="111" t="s">
        <v>193</v>
      </c>
      <c r="G13" s="1"/>
    </row>
    <row r="14" spans="1:12" ht="15" customHeight="1" x14ac:dyDescent="0.25">
      <c r="A14" s="1"/>
      <c r="B14" s="136" t="s">
        <v>194</v>
      </c>
      <c r="C14" s="137" t="s">
        <v>66</v>
      </c>
      <c r="D14" s="137"/>
      <c r="E14" s="112"/>
      <c r="F14" s="107" t="s">
        <v>195</v>
      </c>
      <c r="G14" s="1"/>
    </row>
    <row r="15" spans="1:12" ht="15" customHeight="1" x14ac:dyDescent="0.25">
      <c r="A15" s="1"/>
      <c r="B15" s="4"/>
      <c r="C15" s="5"/>
      <c r="D15" s="5"/>
      <c r="E15" s="6"/>
      <c r="F15" s="8"/>
      <c r="G15" s="2"/>
      <c r="I15" t="s">
        <v>181</v>
      </c>
      <c r="J15" t="s">
        <v>181</v>
      </c>
      <c r="K15" t="s">
        <v>185</v>
      </c>
    </row>
    <row r="16" spans="1:12" ht="18" customHeight="1" thickBot="1" x14ac:dyDescent="0.35">
      <c r="A16" s="1"/>
      <c r="B16" s="35" t="s">
        <v>11</v>
      </c>
      <c r="C16" s="36" t="s">
        <v>4</v>
      </c>
      <c r="D16" s="36" t="s">
        <v>5</v>
      </c>
      <c r="E16" s="37" t="s">
        <v>15</v>
      </c>
      <c r="F16" s="38"/>
      <c r="G16" s="2"/>
      <c r="I16" t="s">
        <v>182</v>
      </c>
      <c r="J16" t="s">
        <v>183</v>
      </c>
      <c r="K16" t="s">
        <v>182</v>
      </c>
      <c r="L16" t="s">
        <v>183</v>
      </c>
    </row>
    <row r="17" spans="1:12" ht="15" customHeight="1" thickTop="1" x14ac:dyDescent="0.25">
      <c r="A17" s="1"/>
      <c r="B17" s="33" t="s">
        <v>22</v>
      </c>
      <c r="C17" s="34">
        <v>50</v>
      </c>
      <c r="D17" s="65">
        <v>50</v>
      </c>
      <c r="E17" s="116" t="s">
        <v>2</v>
      </c>
      <c r="F17" s="117"/>
      <c r="G17" s="1"/>
      <c r="H17" t="s">
        <v>41</v>
      </c>
      <c r="I17">
        <f>IF(E7="%",C7/100*C6,C7)</f>
        <v>16</v>
      </c>
      <c r="J17">
        <f>IF(E7="%",D7/100*D6,D7)</f>
        <v>12</v>
      </c>
      <c r="K17">
        <f>IF(E17="%",I17/C$6*100,I17)</f>
        <v>10</v>
      </c>
      <c r="L17">
        <f>IF(E17="%",J17/D$6*100,J17)</f>
        <v>10</v>
      </c>
    </row>
    <row r="18" spans="1:12" ht="15" customHeight="1" x14ac:dyDescent="0.25">
      <c r="A18" s="1"/>
      <c r="B18" s="23" t="s">
        <v>43</v>
      </c>
      <c r="C18" s="24" t="s">
        <v>45</v>
      </c>
      <c r="D18" s="66" t="s">
        <v>45</v>
      </c>
      <c r="E18" s="118"/>
      <c r="F18" s="119" t="s">
        <v>197</v>
      </c>
      <c r="G18" s="1"/>
      <c r="H18" t="s">
        <v>184</v>
      </c>
      <c r="I18">
        <f>IF(E8="%",C8/100*C6,C8)</f>
        <v>144</v>
      </c>
      <c r="J18">
        <f>IF(E8="%",D8/100*D6,D8)</f>
        <v>108</v>
      </c>
      <c r="K18">
        <f>IF(E17="%",I18/C$6*100,I18)</f>
        <v>90</v>
      </c>
      <c r="L18">
        <f>IF(E17="%",J18/D$6*100,J18)</f>
        <v>90</v>
      </c>
    </row>
    <row r="19" spans="1:12" ht="15" customHeight="1" x14ac:dyDescent="0.25">
      <c r="A19" s="1"/>
      <c r="B19" s="23" t="s">
        <v>54</v>
      </c>
      <c r="C19" s="24" t="s">
        <v>45</v>
      </c>
      <c r="D19" s="66" t="s">
        <v>66</v>
      </c>
      <c r="E19" s="118"/>
      <c r="F19" s="119" t="s">
        <v>55</v>
      </c>
      <c r="G19" s="1"/>
    </row>
    <row r="20" spans="1:12" ht="15" customHeight="1" x14ac:dyDescent="0.25">
      <c r="A20" s="1"/>
      <c r="B20" s="127" t="s">
        <v>187</v>
      </c>
      <c r="C20" s="130" t="s">
        <v>198</v>
      </c>
      <c r="D20" s="130" t="s">
        <v>192</v>
      </c>
      <c r="E20" s="128"/>
      <c r="F20" s="129" t="s">
        <v>188</v>
      </c>
      <c r="G20" s="1"/>
    </row>
    <row r="21" spans="1:12" ht="15" customHeight="1" x14ac:dyDescent="0.25">
      <c r="A21" s="1"/>
      <c r="B21" s="23" t="s">
        <v>38</v>
      </c>
      <c r="C21" s="139">
        <v>1</v>
      </c>
      <c r="D21" s="139"/>
      <c r="E21" s="120" t="s">
        <v>41</v>
      </c>
      <c r="F21" s="119"/>
      <c r="G21" s="1"/>
    </row>
    <row r="22" spans="1:12" ht="15" customHeight="1" x14ac:dyDescent="0.25">
      <c r="A22" s="1"/>
      <c r="B22" s="23" t="s">
        <v>39</v>
      </c>
      <c r="C22" s="139">
        <v>100</v>
      </c>
      <c r="D22" s="139"/>
      <c r="E22" s="120" t="s">
        <v>2</v>
      </c>
      <c r="F22" s="119"/>
      <c r="G22" s="1"/>
    </row>
    <row r="23" spans="1:12" ht="15" customHeight="1" x14ac:dyDescent="0.25">
      <c r="A23" s="1"/>
      <c r="B23" s="25"/>
      <c r="C23" s="27"/>
      <c r="D23" s="27"/>
      <c r="E23" s="28"/>
      <c r="F23" s="26"/>
      <c r="G23" s="1"/>
    </row>
    <row r="24" spans="1:12" ht="15" customHeight="1" x14ac:dyDescent="0.25">
      <c r="A24" s="1"/>
      <c r="B24" s="23" t="s">
        <v>23</v>
      </c>
      <c r="C24" s="138" t="s">
        <v>200</v>
      </c>
      <c r="D24" s="138"/>
      <c r="E24" s="138"/>
      <c r="F24" s="119" t="s">
        <v>186</v>
      </c>
      <c r="G24" s="1"/>
    </row>
    <row r="25" spans="1:12" x14ac:dyDescent="0.25">
      <c r="A25" s="1"/>
      <c r="B25" s="23" t="s">
        <v>24</v>
      </c>
      <c r="C25" s="138" t="s">
        <v>201</v>
      </c>
      <c r="D25" s="138"/>
      <c r="E25" s="138"/>
      <c r="F25" s="119"/>
      <c r="G25" s="1"/>
    </row>
    <row r="26" spans="1:12" x14ac:dyDescent="0.25">
      <c r="A26" s="1"/>
      <c r="B26" s="23" t="s">
        <v>25</v>
      </c>
      <c r="C26" s="138" t="s">
        <v>199</v>
      </c>
      <c r="D26" s="138"/>
      <c r="E26" s="138"/>
      <c r="F26" s="119" t="s">
        <v>16</v>
      </c>
      <c r="G26" s="1"/>
    </row>
    <row r="27" spans="1:12" x14ac:dyDescent="0.25">
      <c r="A27" s="1"/>
      <c r="B27" s="1"/>
      <c r="C27" s="20"/>
      <c r="D27" s="20"/>
      <c r="E27" s="20"/>
      <c r="F27" s="121"/>
      <c r="G27" s="1"/>
    </row>
    <row r="28" spans="1:12" ht="18" thickBot="1" x14ac:dyDescent="0.35">
      <c r="A28" s="1"/>
      <c r="B28" s="13" t="s">
        <v>10</v>
      </c>
      <c r="C28" s="76" t="s">
        <v>4</v>
      </c>
      <c r="D28" s="77" t="s">
        <v>5</v>
      </c>
      <c r="E28" s="104" t="s">
        <v>61</v>
      </c>
      <c r="F28" s="122" t="s">
        <v>177</v>
      </c>
      <c r="G28" s="1"/>
    </row>
    <row r="29" spans="1:12" ht="15.75" thickTop="1" x14ac:dyDescent="0.25">
      <c r="A29" s="1"/>
      <c r="B29" s="39" t="s">
        <v>58</v>
      </c>
      <c r="C29" s="83" t="s">
        <v>45</v>
      </c>
      <c r="D29" s="84" t="s">
        <v>45</v>
      </c>
      <c r="E29" s="105" t="s">
        <v>70</v>
      </c>
      <c r="F29" s="123" t="s">
        <v>175</v>
      </c>
      <c r="G29" s="1"/>
    </row>
    <row r="30" spans="1:12" x14ac:dyDescent="0.25">
      <c r="A30" s="1"/>
      <c r="B30" s="40" t="s">
        <v>59</v>
      </c>
      <c r="C30" s="78" t="s">
        <v>45</v>
      </c>
      <c r="D30" s="79" t="s">
        <v>45</v>
      </c>
      <c r="E30" s="106" t="s">
        <v>70</v>
      </c>
      <c r="F30" s="124" t="s">
        <v>176</v>
      </c>
      <c r="G30" s="1"/>
    </row>
    <row r="31" spans="1:12" x14ac:dyDescent="0.25">
      <c r="A31" s="1"/>
      <c r="B31" s="40" t="s">
        <v>60</v>
      </c>
      <c r="C31" s="78">
        <v>8</v>
      </c>
      <c r="D31" s="79">
        <v>6</v>
      </c>
      <c r="E31" s="106">
        <v>8</v>
      </c>
      <c r="F31" s="125" t="s">
        <v>179</v>
      </c>
      <c r="G31" s="1"/>
    </row>
    <row r="32" spans="1:12" x14ac:dyDescent="0.25">
      <c r="A32" s="1"/>
      <c r="B32" s="40" t="s">
        <v>68</v>
      </c>
      <c r="C32" s="78">
        <v>32</v>
      </c>
      <c r="D32" s="79">
        <v>24</v>
      </c>
      <c r="E32" s="106">
        <v>32</v>
      </c>
      <c r="F32" s="125" t="s">
        <v>169</v>
      </c>
      <c r="G32" s="1"/>
    </row>
    <row r="33" spans="1:7" x14ac:dyDescent="0.25">
      <c r="A33" s="1"/>
      <c r="B33" s="40" t="s">
        <v>69</v>
      </c>
      <c r="C33" s="85">
        <v>32</v>
      </c>
      <c r="D33" s="86">
        <v>24</v>
      </c>
      <c r="E33" s="106">
        <v>32</v>
      </c>
      <c r="F33" s="125" t="s">
        <v>170</v>
      </c>
      <c r="G33" s="1"/>
    </row>
    <row r="34" spans="1:7" x14ac:dyDescent="0.25">
      <c r="A34" s="1"/>
      <c r="B34" s="40" t="s">
        <v>67</v>
      </c>
      <c r="C34" s="78" t="s">
        <v>66</v>
      </c>
      <c r="D34" s="79" t="s">
        <v>66</v>
      </c>
      <c r="E34" s="126" t="s">
        <v>70</v>
      </c>
      <c r="F34" s="124" t="s">
        <v>178</v>
      </c>
      <c r="G34" s="1"/>
    </row>
    <row r="35" spans="1:7" x14ac:dyDescent="0.25">
      <c r="A35" s="1"/>
      <c r="B35" s="3"/>
      <c r="C35" s="1"/>
      <c r="D35" s="1"/>
      <c r="E35" s="1"/>
      <c r="F35" s="7"/>
      <c r="G35" s="1"/>
    </row>
    <row r="36" spans="1:7" ht="18" outlineLevel="1" thickBot="1" x14ac:dyDescent="0.35">
      <c r="A36" s="1"/>
      <c r="B36" s="10" t="s">
        <v>28</v>
      </c>
      <c r="C36" s="11"/>
      <c r="D36" s="11"/>
      <c r="E36" s="12"/>
      <c r="F36" s="12"/>
      <c r="G36" s="1"/>
    </row>
    <row r="37" spans="1:7" ht="15.75" outlineLevel="1" thickTop="1" x14ac:dyDescent="0.25">
      <c r="A37" s="1"/>
      <c r="B37" s="47" t="s">
        <v>34</v>
      </c>
      <c r="C37" s="48"/>
      <c r="D37" s="49"/>
      <c r="E37" s="50"/>
      <c r="F37" s="51"/>
      <c r="G37" s="1"/>
    </row>
    <row r="38" spans="1:7" outlineLevel="1" x14ac:dyDescent="0.25">
      <c r="A38" s="1"/>
      <c r="B38" s="45" t="s">
        <v>33</v>
      </c>
      <c r="C38" s="67">
        <v>0.3125</v>
      </c>
      <c r="D38" s="81" t="s">
        <v>49</v>
      </c>
      <c r="E38" s="80" t="s">
        <v>48</v>
      </c>
      <c r="F38" s="46"/>
      <c r="G38" s="1"/>
    </row>
    <row r="39" spans="1:7" outlineLevel="1" x14ac:dyDescent="0.25">
      <c r="A39" s="1"/>
      <c r="B39" s="41" t="s">
        <v>29</v>
      </c>
      <c r="C39" s="68">
        <v>0.375</v>
      </c>
      <c r="D39" s="42"/>
      <c r="E39" s="43"/>
      <c r="F39" s="44"/>
      <c r="G39" s="1"/>
    </row>
    <row r="40" spans="1:7" outlineLevel="1" x14ac:dyDescent="0.25">
      <c r="A40" s="1"/>
      <c r="B40" s="21"/>
      <c r="C40" s="69"/>
      <c r="D40" s="52"/>
      <c r="E40" s="53"/>
      <c r="F40" s="22"/>
      <c r="G40" s="1"/>
    </row>
    <row r="41" spans="1:7" outlineLevel="1" x14ac:dyDescent="0.25">
      <c r="A41" s="1"/>
      <c r="B41" s="56" t="s">
        <v>35</v>
      </c>
      <c r="C41" s="70"/>
      <c r="D41" s="57"/>
      <c r="E41" s="58"/>
      <c r="F41" s="59"/>
      <c r="G41" s="1"/>
    </row>
    <row r="42" spans="1:7" outlineLevel="1" x14ac:dyDescent="0.25">
      <c r="A42" s="1"/>
      <c r="B42" s="54" t="s">
        <v>29</v>
      </c>
      <c r="C42" s="71">
        <v>25</v>
      </c>
      <c r="D42" s="55" t="s">
        <v>26</v>
      </c>
      <c r="E42" s="43"/>
      <c r="F42" s="44"/>
      <c r="G42" s="1"/>
    </row>
    <row r="43" spans="1:7" outlineLevel="1" x14ac:dyDescent="0.25">
      <c r="A43" s="1"/>
      <c r="B43" s="41" t="s">
        <v>30</v>
      </c>
      <c r="C43" s="71">
        <v>60</v>
      </c>
      <c r="D43" s="42"/>
      <c r="E43" s="43"/>
      <c r="F43" s="44"/>
      <c r="G43" s="1"/>
    </row>
    <row r="44" spans="1:7" outlineLevel="1" x14ac:dyDescent="0.25">
      <c r="A44" s="1"/>
      <c r="B44" s="21"/>
      <c r="C44" s="72"/>
      <c r="D44" s="52"/>
      <c r="E44" s="53"/>
      <c r="F44" s="22"/>
      <c r="G44" s="1"/>
    </row>
    <row r="45" spans="1:7" outlineLevel="1" x14ac:dyDescent="0.25">
      <c r="A45" s="1"/>
      <c r="B45" s="56" t="s">
        <v>36</v>
      </c>
      <c r="C45" s="70"/>
      <c r="D45" s="57"/>
      <c r="E45" s="58"/>
      <c r="F45" s="59"/>
      <c r="G45" s="1"/>
    </row>
    <row r="46" spans="1:7" outlineLevel="1" x14ac:dyDescent="0.25">
      <c r="A46" s="1"/>
      <c r="B46" s="54" t="s">
        <v>37</v>
      </c>
      <c r="C46" s="71">
        <v>5</v>
      </c>
      <c r="D46" s="55" t="s">
        <v>27</v>
      </c>
      <c r="E46" s="43"/>
      <c r="F46" s="44"/>
      <c r="G46" s="1"/>
    </row>
    <row r="47" spans="1:7" s="1" customFormat="1" outlineLevel="1" x14ac:dyDescent="0.25">
      <c r="B47" s="41" t="s">
        <v>31</v>
      </c>
      <c r="C47" s="71">
        <v>5</v>
      </c>
      <c r="D47" s="42"/>
      <c r="E47" s="43"/>
      <c r="F47" s="44"/>
    </row>
    <row r="48" spans="1:7" outlineLevel="1" x14ac:dyDescent="0.25">
      <c r="A48" s="1"/>
      <c r="B48" s="41" t="s">
        <v>32</v>
      </c>
      <c r="C48" s="71">
        <v>5</v>
      </c>
      <c r="D48" s="55" t="s">
        <v>27</v>
      </c>
      <c r="E48" s="43"/>
      <c r="F48" s="44"/>
      <c r="G48" s="1"/>
    </row>
    <row r="49" spans="1:7" outlineLevel="1" x14ac:dyDescent="0.25">
      <c r="A49" s="1"/>
      <c r="B49" s="41" t="s">
        <v>30</v>
      </c>
      <c r="C49" s="71">
        <v>5</v>
      </c>
      <c r="D49" s="42"/>
      <c r="E49" s="43"/>
      <c r="F49" s="44"/>
      <c r="G49" s="1"/>
    </row>
    <row r="50" spans="1:7" outlineLevel="1" x14ac:dyDescent="0.25">
      <c r="A50" s="1"/>
      <c r="B50" s="60"/>
      <c r="C50" s="72"/>
      <c r="D50" s="61"/>
      <c r="E50" s="62"/>
      <c r="F50" s="22"/>
      <c r="G50" s="1"/>
    </row>
    <row r="51" spans="1:7" outlineLevel="1" x14ac:dyDescent="0.25">
      <c r="A51" s="1"/>
      <c r="B51" s="56" t="s">
        <v>40</v>
      </c>
      <c r="C51" s="70"/>
      <c r="D51" s="63"/>
      <c r="E51" s="64"/>
      <c r="F51" s="59"/>
      <c r="G51" s="1"/>
    </row>
    <row r="52" spans="1:7" outlineLevel="1" x14ac:dyDescent="0.25">
      <c r="A52" s="1"/>
      <c r="B52" s="54" t="s">
        <v>7</v>
      </c>
      <c r="C52" s="71">
        <v>50</v>
      </c>
      <c r="D52" s="55" t="s">
        <v>8</v>
      </c>
      <c r="E52" s="43"/>
      <c r="F52" s="44"/>
      <c r="G52" s="1"/>
    </row>
    <row r="53" spans="1:7" outlineLevel="1" x14ac:dyDescent="0.25">
      <c r="A53" s="1"/>
      <c r="B53" s="41" t="s">
        <v>53</v>
      </c>
      <c r="C53" s="82">
        <v>0.2</v>
      </c>
      <c r="D53" s="55" t="s">
        <v>8</v>
      </c>
      <c r="E53" s="43"/>
      <c r="F53" s="44"/>
      <c r="G53" s="1"/>
    </row>
    <row r="54" spans="1:7" outlineLevel="1" x14ac:dyDescent="0.25">
      <c r="A54" s="1"/>
      <c r="B54" s="41" t="s">
        <v>52</v>
      </c>
      <c r="C54" s="82">
        <v>0.01</v>
      </c>
      <c r="D54" s="55" t="s">
        <v>8</v>
      </c>
      <c r="E54" s="43"/>
      <c r="F54" s="44"/>
      <c r="G54" s="1"/>
    </row>
    <row r="55" spans="1:7" outlineLevel="1" x14ac:dyDescent="0.25">
      <c r="A55" s="1"/>
      <c r="B55" s="41" t="s">
        <v>50</v>
      </c>
      <c r="C55" s="71">
        <v>30</v>
      </c>
      <c r="D55" s="55" t="s">
        <v>41</v>
      </c>
      <c r="E55" s="43"/>
      <c r="F55" s="44" t="s">
        <v>65</v>
      </c>
      <c r="G55" s="1"/>
    </row>
    <row r="56" spans="1:7" outlineLevel="1" x14ac:dyDescent="0.25">
      <c r="A56" s="1"/>
      <c r="B56" s="41" t="s">
        <v>42</v>
      </c>
      <c r="C56" s="71">
        <v>5</v>
      </c>
      <c r="D56" s="55" t="s">
        <v>41</v>
      </c>
      <c r="E56" s="43"/>
      <c r="F56" s="44" t="s">
        <v>51</v>
      </c>
      <c r="G56" s="1"/>
    </row>
    <row r="57" spans="1:7" outlineLevel="1" x14ac:dyDescent="0.25">
      <c r="A57" s="1"/>
      <c r="B57" s="41" t="s">
        <v>63</v>
      </c>
      <c r="C57" s="71">
        <v>2</v>
      </c>
      <c r="D57" s="55" t="s">
        <v>62</v>
      </c>
      <c r="E57" s="43"/>
      <c r="F57" s="44" t="s">
        <v>64</v>
      </c>
      <c r="G57" s="1"/>
    </row>
    <row r="58" spans="1:7" x14ac:dyDescent="0.25">
      <c r="A58" s="1"/>
      <c r="B58" s="1"/>
      <c r="C58" s="1"/>
      <c r="D58" s="1"/>
      <c r="E58" s="1"/>
      <c r="F58" s="7"/>
      <c r="G58" s="1"/>
    </row>
    <row r="59" spans="1:7" x14ac:dyDescent="0.25">
      <c r="A59" s="1"/>
      <c r="B59" s="1"/>
      <c r="C59" s="1"/>
      <c r="D59" s="1"/>
      <c r="E59" s="1"/>
      <c r="F59" s="7"/>
      <c r="G59" s="1"/>
    </row>
    <row r="60" spans="1:7" x14ac:dyDescent="0.25">
      <c r="A60" s="1"/>
      <c r="B60" s="1"/>
      <c r="C60" s="1"/>
      <c r="D60" s="1"/>
      <c r="E60" s="1"/>
      <c r="F60" s="7"/>
      <c r="G60" s="1"/>
    </row>
  </sheetData>
  <mergeCells count="6">
    <mergeCell ref="C14:D14"/>
    <mergeCell ref="C26:E26"/>
    <mergeCell ref="C21:D21"/>
    <mergeCell ref="C22:D22"/>
    <mergeCell ref="C24:E24"/>
    <mergeCell ref="C25:E25"/>
  </mergeCells>
  <phoneticPr fontId="3" type="noConversion"/>
  <conditionalFormatting sqref="B20 E20:F20">
    <cfRule type="expression" dxfId="38" priority="7">
      <formula>IF(OR($C$18="yes",$D$18="yes"),1,0)</formula>
    </cfRule>
  </conditionalFormatting>
  <conditionalFormatting sqref="B14:F14">
    <cfRule type="expression" dxfId="37" priority="2">
      <formula>OR(NOT(OR($C$13&gt;0, $D$13&gt;0)),$C$19="no",$D$19="no")</formula>
    </cfRule>
  </conditionalFormatting>
  <conditionalFormatting sqref="C9:C10">
    <cfRule type="expression" dxfId="36" priority="15">
      <formula>NOT(ISBLANK($C$11))</formula>
    </cfRule>
  </conditionalFormatting>
  <conditionalFormatting sqref="C20">
    <cfRule type="expression" dxfId="35" priority="3">
      <formula>IF(AND($C$18="no",$D$18="yes"),1,0)</formula>
    </cfRule>
    <cfRule type="expression" dxfId="34" priority="6">
      <formula>IF($C$18="yes",1,0)</formula>
    </cfRule>
  </conditionalFormatting>
  <conditionalFormatting sqref="C38:C39 C42:C43 C46:C49 C52:C57">
    <cfRule type="containsBlanks" dxfId="33" priority="8">
      <formula>LEN(TRIM(C38))=0</formula>
    </cfRule>
  </conditionalFormatting>
  <conditionalFormatting sqref="C4:D10">
    <cfRule type="containsBlanks" dxfId="32" priority="16">
      <formula>LEN(TRIM(C4))=0</formula>
    </cfRule>
  </conditionalFormatting>
  <conditionalFormatting sqref="C29:D30 C34:D34">
    <cfRule type="expression" dxfId="31" priority="26">
      <formula>AND(OR($C29="n/a",$C29=""),OR($D29="yes",$D29="no"))</formula>
    </cfRule>
    <cfRule type="expression" dxfId="30" priority="27">
      <formula>AND(OR($D29="n/a",$D29=""),OR($C29="yes",$C29="no"))</formula>
    </cfRule>
  </conditionalFormatting>
  <conditionalFormatting sqref="C24:E26">
    <cfRule type="containsBlanks" dxfId="29" priority="9">
      <formula>LEN(TRIM(C24))=0</formula>
    </cfRule>
  </conditionalFormatting>
  <conditionalFormatting sqref="C29:E30 C34:E34">
    <cfRule type="expression" dxfId="28" priority="17">
      <formula>ISBLANK(C29)</formula>
    </cfRule>
    <cfRule type="expression" dxfId="27" priority="29">
      <formula>AND($C29="n/a", $D29="n/a", $E29="n/a")</formula>
    </cfRule>
    <cfRule type="expression" dxfId="26" priority="28">
      <formula>AND(OR($C29="yes",$C29="no"),OR($D29="yes",$D29="no"),OR($E29="yes",$E29="no"))</formula>
    </cfRule>
  </conditionalFormatting>
  <conditionalFormatting sqref="C31:E31">
    <cfRule type="expression" dxfId="25" priority="21">
      <formula>C29&lt;&gt;"yes"</formula>
    </cfRule>
  </conditionalFormatting>
  <conditionalFormatting sqref="C32:E33">
    <cfRule type="expression" dxfId="24" priority="25">
      <formula>C$30&lt;&gt;"yes"</formula>
    </cfRule>
  </conditionalFormatting>
  <conditionalFormatting sqref="C34:E34">
    <cfRule type="expression" dxfId="23" priority="44">
      <formula>OR(AND($C29="n/a", $C34&lt;&gt;"n/a"), AND($C29&lt;&gt;"n/a", $C34="n/a"))</formula>
    </cfRule>
  </conditionalFormatting>
  <conditionalFormatting sqref="D9:D10">
    <cfRule type="expression" dxfId="22" priority="14">
      <formula>NOT(ISBLANK($D$11))</formula>
    </cfRule>
  </conditionalFormatting>
  <conditionalFormatting sqref="D20">
    <cfRule type="expression" dxfId="21" priority="4">
      <formula>IF(AND($C$18="yes", $D$18="no"),1,0)</formula>
    </cfRule>
    <cfRule type="expression" dxfId="20" priority="5">
      <formula>IF($D$18="yes",1,0)</formula>
    </cfRule>
  </conditionalFormatting>
  <conditionalFormatting sqref="E7:E8">
    <cfRule type="containsBlanks" dxfId="19" priority="12">
      <formula>LEN(TRIM(E7))=0</formula>
    </cfRule>
  </conditionalFormatting>
  <conditionalFormatting sqref="E17 C17:D19">
    <cfRule type="containsBlanks" dxfId="18" priority="11">
      <formula>LEN(TRIM(C17))=0</formula>
    </cfRule>
  </conditionalFormatting>
  <conditionalFormatting sqref="E21 C21:D22">
    <cfRule type="containsBlanks" dxfId="17" priority="10">
      <formula>LEN(TRIM(C21))=0</formula>
    </cfRule>
  </conditionalFormatting>
  <conditionalFormatting sqref="E29:E30">
    <cfRule type="expression" dxfId="16" priority="30">
      <formula>AND($E$30="n/a", OR($E$29="yes",$E$29="no"))</formula>
    </cfRule>
    <cfRule type="expression" dxfId="15" priority="31">
      <formula>AND($E$29="n/a", OR($E$30="yes",$E$30="no"))</formula>
    </cfRule>
  </conditionalFormatting>
  <conditionalFormatting sqref="F28">
    <cfRule type="expression" dxfId="14" priority="18">
      <formula>OR(ISBLANK($C$29), ISBLANK($C$30), ISBLANK($D$29), ISBLANK($D$30), ISBLANK($E$29), ISBLANK($E$30))</formula>
    </cfRule>
  </conditionalFormatting>
  <conditionalFormatting sqref="F31">
    <cfRule type="expression" dxfId="13" priority="32">
      <formula>OR($C$29="yes", $D$29="yes", $E$29="yes")</formula>
    </cfRule>
    <cfRule type="expression" dxfId="12" priority="34">
      <formula>AND($C$29="yes", NOT(COUNT($C$31)))</formula>
    </cfRule>
    <cfRule type="expression" dxfId="11" priority="35">
      <formula>AND($D$29="yes", NOT(COUNT($D$31)))</formula>
    </cfRule>
    <cfRule type="expression" dxfId="10" priority="36">
      <formula>AND($E$29="yes", NOT(COUNT($E$31)))</formula>
    </cfRule>
  </conditionalFormatting>
  <conditionalFormatting sqref="F32:F33">
    <cfRule type="expression" dxfId="9" priority="40">
      <formula>AND($C$30="yes", NOT(COUNT($C32)))</formula>
    </cfRule>
    <cfRule type="expression" dxfId="8" priority="41">
      <formula>AND($D$30="yes", NOT(COUNT($D32)))</formula>
    </cfRule>
    <cfRule type="expression" dxfId="7" priority="42">
      <formula>AND($E$30="yes", NOT(COUNT($E32)))</formula>
    </cfRule>
    <cfRule type="expression" dxfId="6" priority="43">
      <formula>OR($C$30="yes", $D$30="yes", $E$30="yes")</formula>
    </cfRule>
  </conditionalFormatting>
  <conditionalFormatting sqref="F34">
    <cfRule type="expression" dxfId="5" priority="47">
      <formula>OR(ISBLANK($C$34), ISBLANK($D$34), ISBLANK($E$34))</formula>
    </cfRule>
    <cfRule type="expression" dxfId="4" priority="48">
      <formula>OR(AND($C$29="n/a", $C$34&lt;&gt;"n/a"), AND($C$29&lt;&gt;"n/a", $C$34="n/a"), AND($D$29="n/a", $D$34&lt;&gt;"n/a"), AND($D$29&lt;&gt;"n/a", $D$34="n/a"), AND($E$29="n/a", $E$34&lt;&gt;"n/a"), AND($E$29&lt;&gt;"n/a", $E$34="n/a"))</formula>
    </cfRule>
  </conditionalFormatting>
  <dataValidations xWindow="807" yWindow="758" count="31">
    <dataValidation type="list" allowBlank="1" showInputMessage="1" showErrorMessage="1" sqref="E7:E8 E17:E19" xr:uid="{73341343-9A80-49DC-8CA9-01C069D4C598}">
      <formula1>"%, MWh"</formula1>
    </dataValidation>
    <dataValidation type="list" allowBlank="1" showInputMessage="1" showErrorMessage="1" sqref="E21" xr:uid="{92E562F2-C93D-4B28-A77E-6B3A341B04EA}">
      <formula1>"s, min"</formula1>
    </dataValidation>
    <dataValidation type="decimal" operator="greaterThanOrEqual" allowBlank="1" showInputMessage="1" showErrorMessage="1" errorTitle="Value incorrect" error="Energy capacity should be non-negative (≥ 0)." sqref="C6:D6" xr:uid="{7B042131-10C3-45D7-98E4-B329E7477394}">
      <formula1>0</formula1>
    </dataValidation>
    <dataValidation type="decimal" operator="greaterThanOrEqual" allowBlank="1" showInputMessage="1" showErrorMessage="1" error="Power should be non-negative (≥ 0)." sqref="D4:D5 C5" xr:uid="{79209D87-8259-4A5E-9B61-9FFEEFCCBF85}">
      <formula1>0</formula1>
    </dataValidation>
    <dataValidation type="list" allowBlank="1" showInputMessage="1" showErrorMessage="1" errorTitle="Invalid input" error="Please select yes or no" sqref="C18:D19" xr:uid="{63EFFF4A-8FE4-4284-8C37-C4416CC4C4FF}">
      <formula1>"yes,no"</formula1>
    </dataValidation>
    <dataValidation type="list" showInputMessage="1" showErrorMessage="1" errorTitle="Invalid input" error="Please select yes, no or n/a." promptTitle="BESS 1" prompt="Select yes or no to specify for each BESS separately, or select n/a to specify for the whole BESS fleet." sqref="C29:C30" xr:uid="{91A347F5-3C2B-9E48-8374-1559FA1E03FA}">
      <formula1>"yes,no,n/a"</formula1>
    </dataValidation>
    <dataValidation type="list" allowBlank="1" showInputMessage="1" showErrorMessage="1" errorTitle="Invalid input" error="Please select yes, no or n/a." promptTitle="BESS 2" prompt="Select yes or no to specify for each BESS separately, or select n/a to specify for the whole BESS fleet." sqref="D29:D30" xr:uid="{3CE73C8B-2625-C343-A252-FB6DF784DF16}">
      <formula1>"yes,no,n/a"</formula1>
    </dataValidation>
    <dataValidation type="list" showInputMessage="1" showErrorMessage="1" errorTitle="Invalid input" error="Please select yes, no or n/a." promptTitle="BESS fleet" prompt="Select yes or no only if BESS_1 &amp; BESS_2 = n/a. Otherwise select n/a." sqref="E29:E30" xr:uid="{4B5B969F-4A5B-374E-BE2E-11EB80782A6B}">
      <formula1>"yes,no,n/a"</formula1>
    </dataValidation>
    <dataValidation type="list" showInputMessage="1" showErrorMessage="1" errorTitle="Invalid input" error="Please select yes or no" promptTitle="BESS fleet" prompt="Select yes or no. If &quot;yes&quot;, then the mandatory FRR is the minimum bid offered to the market and additional voluntary bids can be made when possible._x000a_" sqref="E34" xr:uid="{970E3B28-DAC0-8445-B539-E50C76CB37F8}">
      <formula1>"yes,no,n/a"</formula1>
    </dataValidation>
    <dataValidation type="list" showInputMessage="1" showErrorMessage="1" errorTitle="Invalid input" error="Please select yes or no" promptTitle="BESS 1" prompt="Select yes or no. If &quot;yes&quot;, then the mandatory FRR is the minimum bid offered to the market and additional voluntary bids can be made when possible._x000a_" sqref="C34" xr:uid="{41CF9618-EE1F-4648-85B0-711169D914C0}">
      <formula1>"yes,no,n/a"</formula1>
    </dataValidation>
    <dataValidation type="list" showInputMessage="1" showErrorMessage="1" errorTitle="Invalid input" error="Please select yes or no" promptTitle="BESS 2" prompt="Select yes or no. If &quot;yes&quot;, then the mandatory FRR is the minimum bid offered to the market and additional voluntary bids can be made when possible._x000a_" sqref="D34" xr:uid="{7B5C1943-33B0-394C-BAEF-EEF64AB70048}">
      <formula1>"yes,no,n/a"</formula1>
    </dataValidation>
    <dataValidation type="decimal" allowBlank="1" showInputMessage="1" showErrorMessage="1" errorTitle="Infeasible " error="Efficiency must be a decimal in the range from 0 to 1!" sqref="C9:D11" xr:uid="{AB6DC36D-329F-47E6-A107-403DCDEF34EA}">
      <formula1>0</formula1>
      <formula2>1</formula2>
    </dataValidation>
    <dataValidation type="decimal" operator="greaterThanOrEqual" showInputMessage="1" showErrorMessage="1" error="Power should be non-negative (≥ 0)." sqref="C4" xr:uid="{A7315354-5E5F-49E6-853B-32902BC1D376}">
      <formula1>0</formula1>
    </dataValidation>
    <dataValidation type="decimal" allowBlank="1" showInputMessage="1" showErrorMessage="1" errorTitle="Out of bounds" error="The initial state of charge must be within the defined SOC limits!" sqref="C17:D17" xr:uid="{5861E02C-39DD-4CEE-922D-4020CE0BD5CE}">
      <formula1>K17</formula1>
      <formula2>K18</formula2>
    </dataValidation>
    <dataValidation type="custom" allowBlank="1" showInputMessage="1" showErrorMessage="1" errorTitle="Non-positive or non-integer valu" error="Time resolution must be a positive integer!" sqref="C21:D21" xr:uid="{856FE984-24C0-4AFE-81C4-ECF4C7DC933C}">
      <formula1>AND(C21=INT(C21),C21&gt;0)</formula1>
    </dataValidation>
    <dataValidation type="decimal" allowBlank="1" showInputMessage="1" showErrorMessage="1" errorTitle="Out of bounds" error="The probability must be between 0 and 100%!" sqref="C22:D22" xr:uid="{BB5BC6AE-B2ED-4075-946E-4BD0E64DF83C}">
      <formula1>0</formula1>
      <formula2>100</formula2>
    </dataValidation>
    <dataValidation type="time" allowBlank="1" showInputMessage="1" showErrorMessage="1" errorTitle="Incorrect format" error="Capacity market GCT must be in time format!" sqref="C38:C39" xr:uid="{A9D7D5EC-4546-4D16-A21A-E7172FDAE111}">
      <formula1>0</formula1>
      <formula2>0.999988425925926</formula2>
    </dataValidation>
    <dataValidation type="custom" allowBlank="1" showInputMessage="1" showErrorMessage="1" errorTitle="Non-positive or non-integer valu" error="Energy market GCT must be a positive integer (minutes befire MTU)!" sqref="C42:C43" xr:uid="{1AF99BD8-993E-4692-90E8-5525B2FC4388}">
      <formula1>AND(C42=INT(C42),C42&gt;0)</formula1>
    </dataValidation>
    <dataValidation type="custom" allowBlank="1" showInputMessage="1" showErrorMessage="1" errorTitle="Non-positive or non-integer" error="The value must be a positive integer!" sqref="C55:C57" xr:uid="{2EC63BB6-17A4-4C50-AB7F-3BFC006BB857}">
      <formula1>AND(C46=INT(C46),C46&gt;0)</formula1>
    </dataValidation>
    <dataValidation type="custom" allowBlank="1" showInputMessage="1" showErrorMessage="1" errorTitle="Not a positive number" error="The input value must be a positive number!" sqref="C52:C54" xr:uid="{F468BA98-6159-4E18-A7EF-BD72EA1C9350}">
      <formula1>AND(ISNUMBER(C52),C52&gt;0)</formula1>
    </dataValidation>
    <dataValidation type="custom" allowBlank="1" showInputMessage="1" showErrorMessage="1" errorTitle="Invalid value" error="Please ensure the min limit conforms to rated capacity and max limit!" sqref="D7" xr:uid="{3DB6669B-EE0E-477B-9732-28C9C6212BE6}">
      <formula1>AND(D7&gt;=0,IF($E7="%",D7&lt;=100,D7&lt;=D6),IF($E7=$E8,D7&lt;D8,IF(E7="%",D6*D7/100&lt;D8,D7&lt;D8*D6/100)))</formula1>
    </dataValidation>
    <dataValidation type="custom" allowBlank="1" showInputMessage="1" showErrorMessage="1" errorTitle="Invalid value" error="Please ensure the min limit conforms to rated capacity and max limit!" sqref="C7" xr:uid="{726F5758-1447-463A-9148-7E49B15AEDE4}">
      <formula1>AND(C7&gt;=0,IF($E7="%",C7&lt;=100,C7&lt;=C6),IF($E7=$E8,C7&lt;C8,IF(E7="%",C6*C7/100&lt;C8,C7&lt;C8*C6/100)))</formula1>
    </dataValidation>
    <dataValidation type="custom" allowBlank="1" showInputMessage="1" showErrorMessage="1" errorTitle="Invalid value" error="Please ensure the max limit conforms to rated capacity and min limit!" sqref="C8" xr:uid="{A79A96E4-5B87-430C-BBCD-7FD7CD4B9708}">
      <formula1>AND(C8&gt;=0,IF($E8="%",C8&lt;=100,C8&lt;=C6),IF($E8=$E7,C7&lt;C8,IF(E7="%",C6*C7/100&lt;C8,C7&lt;C8*C6/100)))</formula1>
    </dataValidation>
    <dataValidation type="custom" allowBlank="1" showInputMessage="1" showErrorMessage="1" errorTitle="Invalid value" error="Please ensure the max limit conforms to rated capacity and min limit!" sqref="D8" xr:uid="{C612F2A0-91D3-4F89-B442-F6F4E583502E}">
      <formula1>AND(D8&gt;=0,IF($E8="%",D8&lt;=100,D8&lt;=D6),IF($E8=$E7,D7&lt;D8,IF(E7="%",D6*D7/100&lt;D8,D7&lt;D8*D6/100)))</formula1>
    </dataValidation>
    <dataValidation type="custom" allowBlank="1" showInputMessage="1" showErrorMessage="1" errorTitle="Unsupported file format" error="Please ensure that the input file name has a .csv or .xlsx extension!" sqref="C24:E24" xr:uid="{E3F322F0-5B29-4042-8472-40E2ED319793}">
      <formula1>OR(RIGHT(C24,4)=".csv",RIGHT(C24,5)=".xlsx", RIGHT(C24,4)=".xls")</formula1>
    </dataValidation>
    <dataValidation type="custom" allowBlank="1" showInputMessage="1" showErrorMessage="1" sqref="C25:E25" xr:uid="{F87F49BE-2ABA-49F3-B15D-F23B946CD681}">
      <formula1>OR(RIGHT(C25,4)=".csv",RIGHT(C25,5)=".xlsx",RIGHT(C25,4)=".xls")</formula1>
    </dataValidation>
    <dataValidation type="custom" allowBlank="1" showInputMessage="1" showErrorMessage="1" errorTitle="Non-positive or non-integer" error="The value must be a positive integer!" sqref="C46:C49" xr:uid="{DED2BB69-43A1-411E-BF61-A09BBC00DA8B}">
      <formula1>AND(C46=INT(C46),C46&gt;0)</formula1>
    </dataValidation>
    <dataValidation type="list" allowBlank="1" showInputMessage="1" showErrorMessage="1" sqref="C20:D20" xr:uid="{69FD645B-9619-4BF2-B498-5DFBF770C3C3}">
      <formula1>"Conservative, Active"</formula1>
    </dataValidation>
    <dataValidation type="custom" allowBlank="1" showInputMessage="1" showErrorMessage="1" errorTitle="Invalid value" error="Please enter a positive number between 0 and 100." sqref="C12:D12" xr:uid="{7A2E87F0-7ACC-47A4-94E5-674FBDD051D9}">
      <formula1>AND(C12&gt;=0,C12&lt;=100)</formula1>
    </dataValidation>
    <dataValidation type="list" allowBlank="1" showInputMessage="1" showErrorMessage="1" sqref="C14:D14" xr:uid="{51911147-4A42-4620-A86F-46E1B0E4AE86}">
      <formula1>"yes,no"</formula1>
    </dataValidation>
    <dataValidation type="decimal" operator="greaterThanOrEqual" allowBlank="1" showInputMessage="1" showErrorMessage="1" errorTitle="Invalid value" error="The value must be a positive number, zero or empty" sqref="C13:D13" xr:uid="{76FCDC42-742A-44B3-B5DB-A5BCA763A63C}">
      <formula1>0</formula1>
    </dataValidation>
  </dataValidations>
  <pageMargins left="0.7" right="0.7" top="0.75" bottom="0.75" header="0.3" footer="0.3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8F769-C688-D444-9D42-0EBF8E371C7A}">
  <dimension ref="A1:M102"/>
  <sheetViews>
    <sheetView zoomScale="150" workbookViewId="0">
      <selection activeCell="B4" sqref="B4"/>
    </sheetView>
  </sheetViews>
  <sheetFormatPr defaultColWidth="0" defaultRowHeight="15" zeroHeight="1" x14ac:dyDescent="0.25"/>
  <cols>
    <col min="1" max="1" width="10.7109375" customWidth="1"/>
    <col min="2" max="2" width="19.28515625" bestFit="1" customWidth="1"/>
    <col min="3" max="4" width="8.7109375" customWidth="1"/>
    <col min="5" max="5" width="10.28515625" customWidth="1"/>
    <col min="6" max="6" width="1.7109375" customWidth="1"/>
    <col min="7" max="8" width="8.7109375" customWidth="1"/>
    <col min="9" max="9" width="10.5703125" customWidth="1"/>
    <col min="10" max="10" width="1.7109375" customWidth="1"/>
    <col min="11" max="11" width="10.7109375" customWidth="1"/>
    <col min="12" max="13" width="0" hidden="1" customWidth="1"/>
    <col min="14" max="16384" width="10.7109375" hidden="1"/>
  </cols>
  <sheetData>
    <row r="1" spans="1:1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25">
      <c r="A3" s="1"/>
      <c r="B3" s="98"/>
      <c r="C3" s="89" t="str">
        <f>IF(OR(BESS_technical!$C$29="no",BESS_technical!$C$30="no"),BESS_technical!$C$28,
IF(OR(BESS_technical!$D$29="no",BESS_technical!$D$30="no"),BESS_technical!$D$28,
IF(OR(BESS_technical!$E$29="no",BESS_technical!$E$30="no"),BESS_technical!$E$28,"")))</f>
        <v/>
      </c>
      <c r="D3" s="90" t="s">
        <v>71</v>
      </c>
      <c r="E3" s="94"/>
      <c r="F3" s="95"/>
      <c r="G3" s="92" t="str">
        <f>IF(OR(BESS_technical!$C$29="no",BESS_technical!$C$30="no"),
IF(OR(BESS_technical!$D$29="no",BESS_technical!$D$30="no"),BESS_technical!$D$28,""), "")</f>
        <v/>
      </c>
      <c r="H3" s="93" t="s">
        <v>71</v>
      </c>
      <c r="I3" s="97"/>
      <c r="J3" s="95"/>
      <c r="K3" s="1"/>
    </row>
    <row r="4" spans="1:11" x14ac:dyDescent="0.25">
      <c r="A4" s="1"/>
      <c r="B4" s="91" t="s">
        <v>168</v>
      </c>
      <c r="C4" s="102" t="str" cm="1">
        <f t="array" ref="C4">IF(IF(C$3&lt;&gt;"", INDEX(BESS_technical!$C$29:$E$29,0, MATCH(C$3,BESS_technical!$C$28:$E$28,0)))="no", "FCR", "")</f>
        <v/>
      </c>
      <c r="D4" s="102" t="str" cm="1">
        <f t="array" ref="D4">IF(IF(C$3&lt;&gt;"", INDEX(BESS_technical!$C$30:$E$30,0, MATCH(C$3,BESS_technical!$C$28:$E$28,0)))="no", "FRR up", "")</f>
        <v/>
      </c>
      <c r="E4" s="102" t="str" cm="1">
        <f t="array" ref="E4">IF(IF(C$3&lt;&gt;"", INDEX(BESS_technical!$C$30:$E$30,0, MATCH(C$3,BESS_technical!$C$28:$E$28,0)))="no", "FRR down", "")</f>
        <v/>
      </c>
      <c r="F4" s="96"/>
      <c r="G4" s="103" t="str" cm="1">
        <f t="array" ref="G4">IF(IF(G$3&lt;&gt;"", INDEX(BESS_technical!$C$29:$E$29,0, MATCH(G$3,BESS_technical!$C$28:$E$28,0)))="no", "FCR", "")</f>
        <v/>
      </c>
      <c r="H4" s="103" t="str" cm="1">
        <f t="array" ref="H4">IF(IF(G$3&lt;&gt;"", INDEX(BESS_technical!$C$30:$E$30,0, MATCH(G$3,BESS_technical!$C$28:$E$28,0)))="no", "FRR up", "")</f>
        <v/>
      </c>
      <c r="I4" s="103" t="str" cm="1">
        <f t="array" ref="I4">IF(IF(G$3&lt;&gt;"", INDEX(BESS_technical!$C$30:$E$30,0, MATCH(G$3,BESS_technical!$C$28:$E$28,0)))="no", "FRR down", "")</f>
        <v/>
      </c>
      <c r="J4" s="96"/>
      <c r="K4" s="1"/>
    </row>
    <row r="5" spans="1:11" x14ac:dyDescent="0.25">
      <c r="A5" s="1"/>
      <c r="B5" s="100" t="s">
        <v>72</v>
      </c>
      <c r="C5" s="88">
        <v>8</v>
      </c>
      <c r="D5" s="88">
        <v>12</v>
      </c>
      <c r="E5" s="88">
        <v>8</v>
      </c>
      <c r="F5" s="87"/>
      <c r="G5" s="88">
        <v>3</v>
      </c>
      <c r="H5" s="88">
        <f>30-G5</f>
        <v>27</v>
      </c>
      <c r="I5" s="99">
        <v>30</v>
      </c>
      <c r="J5" s="87"/>
      <c r="K5" s="1"/>
    </row>
    <row r="6" spans="1:11" x14ac:dyDescent="0.25">
      <c r="A6" s="1"/>
      <c r="B6" s="101" t="s">
        <v>74</v>
      </c>
      <c r="C6" s="88">
        <v>8</v>
      </c>
      <c r="D6" s="88">
        <v>12</v>
      </c>
      <c r="E6" s="88">
        <v>8</v>
      </c>
      <c r="F6" s="87"/>
      <c r="G6" s="88">
        <v>3</v>
      </c>
      <c r="H6" s="88">
        <f t="shared" ref="H6:H69" si="0">30-G6</f>
        <v>27</v>
      </c>
      <c r="I6" s="88">
        <v>30</v>
      </c>
      <c r="J6" s="87"/>
      <c r="K6" s="1"/>
    </row>
    <row r="7" spans="1:11" x14ac:dyDescent="0.25">
      <c r="A7" s="1"/>
      <c r="B7" s="101" t="s">
        <v>75</v>
      </c>
      <c r="C7" s="88">
        <v>8</v>
      </c>
      <c r="D7" s="88">
        <v>12</v>
      </c>
      <c r="E7" s="88">
        <v>8</v>
      </c>
      <c r="F7" s="87"/>
      <c r="G7" s="88">
        <v>3</v>
      </c>
      <c r="H7" s="88">
        <f t="shared" si="0"/>
        <v>27</v>
      </c>
      <c r="I7" s="88">
        <v>30</v>
      </c>
      <c r="J7" s="87"/>
      <c r="K7" s="1"/>
    </row>
    <row r="8" spans="1:11" x14ac:dyDescent="0.25">
      <c r="A8" s="1"/>
      <c r="B8" s="101" t="s">
        <v>76</v>
      </c>
      <c r="C8" s="88">
        <v>8</v>
      </c>
      <c r="D8" s="88">
        <v>12</v>
      </c>
      <c r="E8" s="88">
        <v>8</v>
      </c>
      <c r="F8" s="87"/>
      <c r="G8" s="88">
        <v>3</v>
      </c>
      <c r="H8" s="88">
        <f t="shared" si="0"/>
        <v>27</v>
      </c>
      <c r="I8" s="88">
        <v>30</v>
      </c>
      <c r="J8" s="87"/>
      <c r="K8" s="1"/>
    </row>
    <row r="9" spans="1:11" x14ac:dyDescent="0.25">
      <c r="A9" s="1"/>
      <c r="B9" s="101" t="s">
        <v>77</v>
      </c>
      <c r="C9" s="88">
        <v>8</v>
      </c>
      <c r="D9" s="88">
        <v>12</v>
      </c>
      <c r="E9" s="88">
        <v>8</v>
      </c>
      <c r="F9" s="87"/>
      <c r="G9" s="88">
        <v>3</v>
      </c>
      <c r="H9" s="88">
        <f t="shared" si="0"/>
        <v>27</v>
      </c>
      <c r="I9" s="88">
        <v>30</v>
      </c>
      <c r="J9" s="87"/>
      <c r="K9" s="1"/>
    </row>
    <row r="10" spans="1:11" x14ac:dyDescent="0.25">
      <c r="A10" s="1"/>
      <c r="B10" s="101" t="s">
        <v>73</v>
      </c>
      <c r="C10" s="88">
        <v>0</v>
      </c>
      <c r="D10" s="88">
        <v>12</v>
      </c>
      <c r="E10" s="88">
        <v>8</v>
      </c>
      <c r="F10" s="87"/>
      <c r="G10" s="88">
        <v>3</v>
      </c>
      <c r="H10" s="88">
        <f t="shared" si="0"/>
        <v>27</v>
      </c>
      <c r="I10" s="88">
        <v>30</v>
      </c>
      <c r="J10" s="87"/>
      <c r="K10" s="1"/>
    </row>
    <row r="11" spans="1:11" x14ac:dyDescent="0.25">
      <c r="A11" s="1"/>
      <c r="B11" s="101" t="s">
        <v>78</v>
      </c>
      <c r="C11" s="88">
        <v>0</v>
      </c>
      <c r="D11" s="88">
        <v>12</v>
      </c>
      <c r="E11" s="88">
        <v>8</v>
      </c>
      <c r="F11" s="87"/>
      <c r="G11" s="88">
        <v>3</v>
      </c>
      <c r="H11" s="88">
        <f t="shared" si="0"/>
        <v>27</v>
      </c>
      <c r="I11" s="88">
        <v>30</v>
      </c>
      <c r="J11" s="87"/>
      <c r="K11" s="1"/>
    </row>
    <row r="12" spans="1:11" x14ac:dyDescent="0.25">
      <c r="A12" s="1"/>
      <c r="B12" s="101" t="s">
        <v>79</v>
      </c>
      <c r="C12" s="88">
        <v>0</v>
      </c>
      <c r="D12" s="88">
        <v>12</v>
      </c>
      <c r="E12" s="88">
        <v>8</v>
      </c>
      <c r="F12" s="87"/>
      <c r="G12" s="88">
        <v>3</v>
      </c>
      <c r="H12" s="88">
        <f t="shared" si="0"/>
        <v>27</v>
      </c>
      <c r="I12" s="88">
        <v>30</v>
      </c>
      <c r="J12" s="87"/>
      <c r="K12" s="1"/>
    </row>
    <row r="13" spans="1:11" x14ac:dyDescent="0.25">
      <c r="A13" s="1"/>
      <c r="B13" s="101" t="s">
        <v>80</v>
      </c>
      <c r="C13" s="88">
        <v>8</v>
      </c>
      <c r="D13" s="88">
        <v>12</v>
      </c>
      <c r="E13" s="88">
        <v>8</v>
      </c>
      <c r="F13" s="87"/>
      <c r="G13" s="88">
        <v>3</v>
      </c>
      <c r="H13" s="88">
        <f t="shared" si="0"/>
        <v>27</v>
      </c>
      <c r="I13" s="88">
        <v>30</v>
      </c>
      <c r="J13" s="87"/>
      <c r="K13" s="1"/>
    </row>
    <row r="14" spans="1:11" x14ac:dyDescent="0.25">
      <c r="A14" s="1"/>
      <c r="B14" s="101" t="s">
        <v>81</v>
      </c>
      <c r="C14" s="88">
        <v>8</v>
      </c>
      <c r="D14" s="88">
        <v>12</v>
      </c>
      <c r="E14" s="88">
        <v>8</v>
      </c>
      <c r="F14" s="87"/>
      <c r="G14" s="88">
        <v>3</v>
      </c>
      <c r="H14" s="88">
        <f t="shared" si="0"/>
        <v>27</v>
      </c>
      <c r="I14" s="88">
        <v>30</v>
      </c>
      <c r="J14" s="87"/>
      <c r="K14" s="1"/>
    </row>
    <row r="15" spans="1:11" x14ac:dyDescent="0.25">
      <c r="A15" s="1"/>
      <c r="B15" s="101" t="s">
        <v>82</v>
      </c>
      <c r="C15" s="88">
        <v>8</v>
      </c>
      <c r="D15" s="88">
        <v>12</v>
      </c>
      <c r="E15" s="88">
        <v>8</v>
      </c>
      <c r="F15" s="87"/>
      <c r="G15" s="88">
        <v>3</v>
      </c>
      <c r="H15" s="88">
        <f t="shared" si="0"/>
        <v>27</v>
      </c>
      <c r="I15" s="88">
        <v>30</v>
      </c>
      <c r="J15" s="87"/>
      <c r="K15" s="1"/>
    </row>
    <row r="16" spans="1:11" x14ac:dyDescent="0.25">
      <c r="A16" s="1"/>
      <c r="B16" s="101" t="s">
        <v>83</v>
      </c>
      <c r="C16" s="88">
        <v>8</v>
      </c>
      <c r="D16" s="88">
        <v>12</v>
      </c>
      <c r="E16" s="88">
        <v>8</v>
      </c>
      <c r="F16" s="87"/>
      <c r="G16" s="88">
        <v>3</v>
      </c>
      <c r="H16" s="88">
        <f t="shared" si="0"/>
        <v>27</v>
      </c>
      <c r="I16" s="88">
        <v>30</v>
      </c>
      <c r="J16" s="87"/>
      <c r="K16" s="1"/>
    </row>
    <row r="17" spans="1:11" x14ac:dyDescent="0.25">
      <c r="A17" s="1"/>
      <c r="B17" s="101" t="s">
        <v>84</v>
      </c>
      <c r="C17" s="88">
        <v>8</v>
      </c>
      <c r="D17" s="88">
        <v>12</v>
      </c>
      <c r="E17" s="88">
        <v>8</v>
      </c>
      <c r="F17" s="87"/>
      <c r="G17" s="88">
        <v>3</v>
      </c>
      <c r="H17" s="88">
        <f t="shared" si="0"/>
        <v>27</v>
      </c>
      <c r="I17" s="88">
        <v>30</v>
      </c>
      <c r="J17" s="87"/>
      <c r="K17" s="1"/>
    </row>
    <row r="18" spans="1:11" x14ac:dyDescent="0.25">
      <c r="A18" s="1"/>
      <c r="B18" s="101" t="s">
        <v>85</v>
      </c>
      <c r="C18" s="88">
        <v>8</v>
      </c>
      <c r="D18" s="88">
        <v>12</v>
      </c>
      <c r="E18" s="88">
        <v>8</v>
      </c>
      <c r="F18" s="87"/>
      <c r="G18" s="88">
        <v>3</v>
      </c>
      <c r="H18" s="88">
        <f t="shared" si="0"/>
        <v>27</v>
      </c>
      <c r="I18" s="88">
        <v>30</v>
      </c>
      <c r="J18" s="87"/>
      <c r="K18" s="1"/>
    </row>
    <row r="19" spans="1:11" x14ac:dyDescent="0.25">
      <c r="A19" s="1"/>
      <c r="B19" s="101" t="s">
        <v>86</v>
      </c>
      <c r="C19" s="88">
        <v>8</v>
      </c>
      <c r="D19" s="88">
        <v>12</v>
      </c>
      <c r="E19" s="88">
        <v>8</v>
      </c>
      <c r="F19" s="87"/>
      <c r="G19" s="88">
        <v>3</v>
      </c>
      <c r="H19" s="88">
        <f t="shared" si="0"/>
        <v>27</v>
      </c>
      <c r="I19" s="88">
        <v>30</v>
      </c>
      <c r="J19" s="87"/>
      <c r="K19" s="1"/>
    </row>
    <row r="20" spans="1:11" x14ac:dyDescent="0.25">
      <c r="A20" s="1"/>
      <c r="B20" s="101" t="s">
        <v>87</v>
      </c>
      <c r="C20" s="88">
        <v>8</v>
      </c>
      <c r="D20" s="88">
        <v>12</v>
      </c>
      <c r="E20" s="88">
        <v>8</v>
      </c>
      <c r="F20" s="87"/>
      <c r="G20" s="88">
        <v>3</v>
      </c>
      <c r="H20" s="88">
        <f t="shared" si="0"/>
        <v>27</v>
      </c>
      <c r="I20" s="88">
        <v>30</v>
      </c>
      <c r="J20" s="87"/>
      <c r="K20" s="1"/>
    </row>
    <row r="21" spans="1:11" x14ac:dyDescent="0.25">
      <c r="A21" s="1"/>
      <c r="B21" s="101" t="s">
        <v>88</v>
      </c>
      <c r="C21" s="88">
        <v>8</v>
      </c>
      <c r="D21" s="88">
        <v>12</v>
      </c>
      <c r="E21" s="88">
        <v>8</v>
      </c>
      <c r="F21" s="87"/>
      <c r="G21" s="88">
        <v>3</v>
      </c>
      <c r="H21" s="88">
        <f t="shared" si="0"/>
        <v>27</v>
      </c>
      <c r="I21" s="88">
        <v>30</v>
      </c>
      <c r="J21" s="87"/>
      <c r="K21" s="1"/>
    </row>
    <row r="22" spans="1:11" x14ac:dyDescent="0.25">
      <c r="A22" s="1"/>
      <c r="B22" s="101" t="s">
        <v>89</v>
      </c>
      <c r="C22" s="88">
        <v>8</v>
      </c>
      <c r="D22" s="88">
        <v>12</v>
      </c>
      <c r="E22" s="88">
        <v>8</v>
      </c>
      <c r="F22" s="87"/>
      <c r="G22" s="88">
        <v>3</v>
      </c>
      <c r="H22" s="88">
        <f t="shared" si="0"/>
        <v>27</v>
      </c>
      <c r="I22" s="88">
        <v>30</v>
      </c>
      <c r="J22" s="87"/>
      <c r="K22" s="1"/>
    </row>
    <row r="23" spans="1:11" x14ac:dyDescent="0.25">
      <c r="A23" s="1"/>
      <c r="B23" s="101" t="s">
        <v>90</v>
      </c>
      <c r="C23" s="88">
        <v>8</v>
      </c>
      <c r="D23" s="88">
        <v>12</v>
      </c>
      <c r="E23" s="88">
        <v>8</v>
      </c>
      <c r="F23" s="87"/>
      <c r="G23" s="88">
        <v>3</v>
      </c>
      <c r="H23" s="88">
        <f t="shared" si="0"/>
        <v>27</v>
      </c>
      <c r="I23" s="88">
        <v>30</v>
      </c>
      <c r="J23" s="87"/>
      <c r="K23" s="1"/>
    </row>
    <row r="24" spans="1:11" x14ac:dyDescent="0.25">
      <c r="A24" s="1"/>
      <c r="B24" s="101" t="s">
        <v>91</v>
      </c>
      <c r="C24" s="88">
        <v>8</v>
      </c>
      <c r="D24" s="88">
        <v>12</v>
      </c>
      <c r="E24" s="88">
        <v>8</v>
      </c>
      <c r="F24" s="87"/>
      <c r="G24" s="88">
        <v>3</v>
      </c>
      <c r="H24" s="88">
        <f t="shared" si="0"/>
        <v>27</v>
      </c>
      <c r="I24" s="88">
        <v>30</v>
      </c>
      <c r="J24" s="87"/>
      <c r="K24" s="1"/>
    </row>
    <row r="25" spans="1:11" x14ac:dyDescent="0.25">
      <c r="A25" s="1"/>
      <c r="B25" s="101" t="s">
        <v>92</v>
      </c>
      <c r="C25" s="88">
        <v>8</v>
      </c>
      <c r="D25" s="88">
        <v>12</v>
      </c>
      <c r="E25" s="88">
        <v>8</v>
      </c>
      <c r="F25" s="87"/>
      <c r="G25" s="88">
        <v>3</v>
      </c>
      <c r="H25" s="88">
        <f t="shared" si="0"/>
        <v>27</v>
      </c>
      <c r="I25" s="88">
        <v>30</v>
      </c>
      <c r="J25" s="87"/>
      <c r="K25" s="1"/>
    </row>
    <row r="26" spans="1:11" x14ac:dyDescent="0.25">
      <c r="A26" s="1"/>
      <c r="B26" s="101" t="s">
        <v>93</v>
      </c>
      <c r="C26" s="88">
        <v>8</v>
      </c>
      <c r="D26" s="88">
        <v>12</v>
      </c>
      <c r="E26" s="88">
        <v>8</v>
      </c>
      <c r="F26" s="87"/>
      <c r="G26" s="88">
        <v>3</v>
      </c>
      <c r="H26" s="88">
        <f t="shared" si="0"/>
        <v>27</v>
      </c>
      <c r="I26" s="88">
        <v>30</v>
      </c>
      <c r="J26" s="87"/>
      <c r="K26" s="1"/>
    </row>
    <row r="27" spans="1:11" x14ac:dyDescent="0.25">
      <c r="A27" s="1"/>
      <c r="B27" s="101" t="s">
        <v>94</v>
      </c>
      <c r="C27" s="88">
        <v>8</v>
      </c>
      <c r="D27" s="88">
        <v>12</v>
      </c>
      <c r="E27" s="88">
        <v>8</v>
      </c>
      <c r="F27" s="87"/>
      <c r="G27" s="88">
        <v>3</v>
      </c>
      <c r="H27" s="88">
        <f t="shared" si="0"/>
        <v>27</v>
      </c>
      <c r="I27" s="88">
        <v>30</v>
      </c>
      <c r="J27" s="87"/>
      <c r="K27" s="1"/>
    </row>
    <row r="28" spans="1:11" x14ac:dyDescent="0.25">
      <c r="A28" s="1"/>
      <c r="B28" s="101" t="s">
        <v>95</v>
      </c>
      <c r="C28" s="88">
        <v>8</v>
      </c>
      <c r="D28" s="88">
        <v>12</v>
      </c>
      <c r="E28" s="88">
        <v>8</v>
      </c>
      <c r="F28" s="87"/>
      <c r="G28" s="88">
        <v>3</v>
      </c>
      <c r="H28" s="88">
        <f t="shared" si="0"/>
        <v>27</v>
      </c>
      <c r="I28" s="88">
        <v>30</v>
      </c>
      <c r="J28" s="87"/>
      <c r="K28" s="1"/>
    </row>
    <row r="29" spans="1:11" x14ac:dyDescent="0.25">
      <c r="A29" s="1"/>
      <c r="B29" s="101" t="s">
        <v>96</v>
      </c>
      <c r="C29" s="88">
        <v>8</v>
      </c>
      <c r="D29" s="88">
        <v>12</v>
      </c>
      <c r="E29" s="88">
        <v>8</v>
      </c>
      <c r="F29" s="87"/>
      <c r="G29" s="88">
        <v>3</v>
      </c>
      <c r="H29" s="88">
        <f t="shared" si="0"/>
        <v>27</v>
      </c>
      <c r="I29" s="88">
        <v>30</v>
      </c>
      <c r="J29" s="87"/>
      <c r="K29" s="1"/>
    </row>
    <row r="30" spans="1:11" x14ac:dyDescent="0.25">
      <c r="A30" s="1"/>
      <c r="B30" s="101" t="s">
        <v>97</v>
      </c>
      <c r="C30" s="88">
        <v>8</v>
      </c>
      <c r="D30" s="88">
        <v>12</v>
      </c>
      <c r="E30" s="88">
        <v>8</v>
      </c>
      <c r="F30" s="87"/>
      <c r="G30" s="88">
        <v>3</v>
      </c>
      <c r="H30" s="88">
        <f t="shared" si="0"/>
        <v>27</v>
      </c>
      <c r="I30" s="88">
        <v>30</v>
      </c>
      <c r="J30" s="87"/>
      <c r="K30" s="1"/>
    </row>
    <row r="31" spans="1:11" x14ac:dyDescent="0.25">
      <c r="A31" s="1"/>
      <c r="B31" s="101" t="s">
        <v>98</v>
      </c>
      <c r="C31" s="88">
        <v>8</v>
      </c>
      <c r="D31" s="88">
        <v>12</v>
      </c>
      <c r="E31" s="88">
        <v>8</v>
      </c>
      <c r="F31" s="87"/>
      <c r="G31" s="88">
        <v>3</v>
      </c>
      <c r="H31" s="88">
        <f t="shared" si="0"/>
        <v>27</v>
      </c>
      <c r="I31" s="88">
        <v>30</v>
      </c>
      <c r="J31" s="87"/>
      <c r="K31" s="1"/>
    </row>
    <row r="32" spans="1:11" x14ac:dyDescent="0.25">
      <c r="A32" s="1"/>
      <c r="B32" s="101" t="s">
        <v>99</v>
      </c>
      <c r="C32" s="88">
        <v>8</v>
      </c>
      <c r="D32" s="88">
        <v>12</v>
      </c>
      <c r="E32" s="88">
        <v>8</v>
      </c>
      <c r="F32" s="87"/>
      <c r="G32" s="88">
        <v>3</v>
      </c>
      <c r="H32" s="88">
        <f t="shared" si="0"/>
        <v>27</v>
      </c>
      <c r="I32" s="88">
        <v>30</v>
      </c>
      <c r="J32" s="87"/>
      <c r="K32" s="1"/>
    </row>
    <row r="33" spans="1:11" x14ac:dyDescent="0.25">
      <c r="A33" s="1"/>
      <c r="B33" s="101" t="s">
        <v>100</v>
      </c>
      <c r="C33" s="88">
        <v>8</v>
      </c>
      <c r="D33" s="88">
        <v>12</v>
      </c>
      <c r="E33" s="88">
        <v>8</v>
      </c>
      <c r="F33" s="87"/>
      <c r="G33" s="88">
        <v>3</v>
      </c>
      <c r="H33" s="88">
        <f t="shared" si="0"/>
        <v>27</v>
      </c>
      <c r="I33" s="88">
        <v>30</v>
      </c>
      <c r="J33" s="87"/>
      <c r="K33" s="1"/>
    </row>
    <row r="34" spans="1:11" x14ac:dyDescent="0.25">
      <c r="A34" s="1"/>
      <c r="B34" s="101" t="s">
        <v>101</v>
      </c>
      <c r="C34" s="88">
        <v>8</v>
      </c>
      <c r="D34" s="88">
        <v>12</v>
      </c>
      <c r="E34" s="88">
        <v>8</v>
      </c>
      <c r="F34" s="87"/>
      <c r="G34" s="88">
        <v>3</v>
      </c>
      <c r="H34" s="88">
        <f t="shared" si="0"/>
        <v>27</v>
      </c>
      <c r="I34" s="88">
        <v>30</v>
      </c>
      <c r="J34" s="87"/>
      <c r="K34" s="1"/>
    </row>
    <row r="35" spans="1:11" x14ac:dyDescent="0.25">
      <c r="A35" s="1"/>
      <c r="B35" s="101" t="s">
        <v>102</v>
      </c>
      <c r="C35" s="88">
        <v>8</v>
      </c>
      <c r="D35" s="88">
        <v>12</v>
      </c>
      <c r="E35" s="88">
        <v>8</v>
      </c>
      <c r="F35" s="87"/>
      <c r="G35" s="88">
        <v>3</v>
      </c>
      <c r="H35" s="88">
        <f t="shared" si="0"/>
        <v>27</v>
      </c>
      <c r="I35" s="88">
        <v>30</v>
      </c>
      <c r="J35" s="87"/>
      <c r="K35" s="1"/>
    </row>
    <row r="36" spans="1:11" x14ac:dyDescent="0.25">
      <c r="A36" s="1"/>
      <c r="B36" s="101" t="s">
        <v>103</v>
      </c>
      <c r="C36" s="88">
        <v>8</v>
      </c>
      <c r="D36" s="88">
        <v>12</v>
      </c>
      <c r="E36" s="88">
        <v>8</v>
      </c>
      <c r="F36" s="87"/>
      <c r="G36" s="88">
        <v>3</v>
      </c>
      <c r="H36" s="88">
        <f t="shared" si="0"/>
        <v>27</v>
      </c>
      <c r="I36" s="88">
        <v>30</v>
      </c>
      <c r="J36" s="87"/>
      <c r="K36" s="1"/>
    </row>
    <row r="37" spans="1:11" x14ac:dyDescent="0.25">
      <c r="A37" s="1"/>
      <c r="B37" s="101" t="s">
        <v>104</v>
      </c>
      <c r="C37" s="88">
        <v>8</v>
      </c>
      <c r="D37" s="88">
        <v>12</v>
      </c>
      <c r="E37" s="88">
        <v>8</v>
      </c>
      <c r="F37" s="87"/>
      <c r="G37" s="88">
        <v>3</v>
      </c>
      <c r="H37" s="88">
        <f t="shared" si="0"/>
        <v>27</v>
      </c>
      <c r="I37" s="88">
        <v>30</v>
      </c>
      <c r="J37" s="87"/>
      <c r="K37" s="1"/>
    </row>
    <row r="38" spans="1:11" x14ac:dyDescent="0.25">
      <c r="A38" s="1"/>
      <c r="B38" s="101" t="s">
        <v>105</v>
      </c>
      <c r="C38" s="88">
        <v>8</v>
      </c>
      <c r="D38" s="88">
        <v>12</v>
      </c>
      <c r="E38" s="88">
        <v>8</v>
      </c>
      <c r="F38" s="87"/>
      <c r="G38" s="88">
        <v>3</v>
      </c>
      <c r="H38" s="88">
        <f t="shared" si="0"/>
        <v>27</v>
      </c>
      <c r="I38" s="88">
        <v>30</v>
      </c>
      <c r="J38" s="87"/>
      <c r="K38" s="1"/>
    </row>
    <row r="39" spans="1:11" x14ac:dyDescent="0.25">
      <c r="A39" s="1"/>
      <c r="B39" s="101" t="s">
        <v>106</v>
      </c>
      <c r="C39" s="88">
        <v>8</v>
      </c>
      <c r="D39" s="88">
        <v>12</v>
      </c>
      <c r="E39" s="88">
        <v>8</v>
      </c>
      <c r="F39" s="87"/>
      <c r="G39" s="88">
        <v>3</v>
      </c>
      <c r="H39" s="88">
        <f t="shared" si="0"/>
        <v>27</v>
      </c>
      <c r="I39" s="88">
        <v>30</v>
      </c>
      <c r="J39" s="87"/>
      <c r="K39" s="1"/>
    </row>
    <row r="40" spans="1:11" x14ac:dyDescent="0.25">
      <c r="A40" s="1"/>
      <c r="B40" s="101" t="s">
        <v>107</v>
      </c>
      <c r="C40" s="88">
        <v>8</v>
      </c>
      <c r="D40" s="88">
        <v>12</v>
      </c>
      <c r="E40" s="88">
        <v>8</v>
      </c>
      <c r="F40" s="87"/>
      <c r="G40" s="88">
        <v>3</v>
      </c>
      <c r="H40" s="88">
        <f t="shared" si="0"/>
        <v>27</v>
      </c>
      <c r="I40" s="88">
        <v>30</v>
      </c>
      <c r="J40" s="87"/>
      <c r="K40" s="1"/>
    </row>
    <row r="41" spans="1:11" x14ac:dyDescent="0.25">
      <c r="A41" s="1"/>
      <c r="B41" s="101" t="s">
        <v>108</v>
      </c>
      <c r="C41" s="88">
        <v>8</v>
      </c>
      <c r="D41" s="88">
        <v>12</v>
      </c>
      <c r="E41" s="88">
        <v>8</v>
      </c>
      <c r="F41" s="87"/>
      <c r="G41" s="88">
        <v>3</v>
      </c>
      <c r="H41" s="88">
        <f t="shared" si="0"/>
        <v>27</v>
      </c>
      <c r="I41" s="88">
        <v>30</v>
      </c>
      <c r="J41" s="87"/>
      <c r="K41" s="1"/>
    </row>
    <row r="42" spans="1:11" x14ac:dyDescent="0.25">
      <c r="A42" s="1"/>
      <c r="B42" s="101" t="s">
        <v>109</v>
      </c>
      <c r="C42" s="88">
        <v>8</v>
      </c>
      <c r="D42" s="88">
        <v>12</v>
      </c>
      <c r="E42" s="88">
        <v>8</v>
      </c>
      <c r="F42" s="87"/>
      <c r="G42" s="88">
        <v>3</v>
      </c>
      <c r="H42" s="88">
        <f t="shared" si="0"/>
        <v>27</v>
      </c>
      <c r="I42" s="88">
        <v>30</v>
      </c>
      <c r="J42" s="87"/>
      <c r="K42" s="1"/>
    </row>
    <row r="43" spans="1:11" x14ac:dyDescent="0.25">
      <c r="A43" s="1"/>
      <c r="B43" s="101" t="s">
        <v>110</v>
      </c>
      <c r="C43" s="88">
        <v>8</v>
      </c>
      <c r="D43" s="88">
        <v>12</v>
      </c>
      <c r="E43" s="88">
        <v>8</v>
      </c>
      <c r="F43" s="87"/>
      <c r="G43" s="88">
        <v>3</v>
      </c>
      <c r="H43" s="88">
        <f t="shared" si="0"/>
        <v>27</v>
      </c>
      <c r="I43" s="88">
        <v>30</v>
      </c>
      <c r="J43" s="87"/>
      <c r="K43" s="1"/>
    </row>
    <row r="44" spans="1:11" x14ac:dyDescent="0.25">
      <c r="A44" s="1"/>
      <c r="B44" s="101" t="s">
        <v>111</v>
      </c>
      <c r="C44" s="88">
        <v>8</v>
      </c>
      <c r="D44" s="88">
        <v>12</v>
      </c>
      <c r="E44" s="88">
        <v>8</v>
      </c>
      <c r="F44" s="87"/>
      <c r="G44" s="88">
        <v>3</v>
      </c>
      <c r="H44" s="88">
        <f t="shared" si="0"/>
        <v>27</v>
      </c>
      <c r="I44" s="88">
        <v>30</v>
      </c>
      <c r="J44" s="87"/>
      <c r="K44" s="1"/>
    </row>
    <row r="45" spans="1:11" x14ac:dyDescent="0.25">
      <c r="A45" s="1"/>
      <c r="B45" s="101" t="s">
        <v>112</v>
      </c>
      <c r="C45" s="88">
        <v>8</v>
      </c>
      <c r="D45" s="88">
        <v>12</v>
      </c>
      <c r="E45" s="88">
        <v>8</v>
      </c>
      <c r="F45" s="87"/>
      <c r="G45" s="88">
        <v>3</v>
      </c>
      <c r="H45" s="88">
        <f t="shared" si="0"/>
        <v>27</v>
      </c>
      <c r="I45" s="88">
        <v>30</v>
      </c>
      <c r="J45" s="87"/>
      <c r="K45" s="1"/>
    </row>
    <row r="46" spans="1:11" x14ac:dyDescent="0.25">
      <c r="A46" s="1"/>
      <c r="B46" s="101" t="s">
        <v>113</v>
      </c>
      <c r="C46" s="88">
        <v>8</v>
      </c>
      <c r="D46" s="88">
        <v>12</v>
      </c>
      <c r="E46" s="88">
        <v>8</v>
      </c>
      <c r="F46" s="87"/>
      <c r="G46" s="88">
        <v>3</v>
      </c>
      <c r="H46" s="88">
        <f t="shared" si="0"/>
        <v>27</v>
      </c>
      <c r="I46" s="88">
        <v>30</v>
      </c>
      <c r="J46" s="87"/>
      <c r="K46" s="1"/>
    </row>
    <row r="47" spans="1:11" x14ac:dyDescent="0.25">
      <c r="A47" s="1"/>
      <c r="B47" s="101" t="s">
        <v>114</v>
      </c>
      <c r="C47" s="88">
        <v>8</v>
      </c>
      <c r="D47" s="88">
        <v>12</v>
      </c>
      <c r="E47" s="88">
        <v>8</v>
      </c>
      <c r="F47" s="87"/>
      <c r="G47" s="88">
        <v>3</v>
      </c>
      <c r="H47" s="88">
        <f t="shared" si="0"/>
        <v>27</v>
      </c>
      <c r="I47" s="88">
        <v>30</v>
      </c>
      <c r="J47" s="87"/>
      <c r="K47" s="1"/>
    </row>
    <row r="48" spans="1:11" x14ac:dyDescent="0.25">
      <c r="A48" s="1"/>
      <c r="B48" s="101" t="s">
        <v>115</v>
      </c>
      <c r="C48" s="88">
        <v>8</v>
      </c>
      <c r="D48" s="88">
        <v>12</v>
      </c>
      <c r="E48" s="88">
        <v>8</v>
      </c>
      <c r="F48" s="87"/>
      <c r="G48" s="88">
        <v>3</v>
      </c>
      <c r="H48" s="88">
        <f t="shared" si="0"/>
        <v>27</v>
      </c>
      <c r="I48" s="88">
        <v>30</v>
      </c>
      <c r="J48" s="87"/>
      <c r="K48" s="1"/>
    </row>
    <row r="49" spans="1:11" x14ac:dyDescent="0.25">
      <c r="A49" s="1"/>
      <c r="B49" s="101" t="s">
        <v>116</v>
      </c>
      <c r="C49" s="88">
        <v>10</v>
      </c>
      <c r="D49" s="88">
        <v>12</v>
      </c>
      <c r="E49" s="88">
        <v>8</v>
      </c>
      <c r="F49" s="87"/>
      <c r="G49" s="88">
        <v>3</v>
      </c>
      <c r="H49" s="88">
        <f t="shared" si="0"/>
        <v>27</v>
      </c>
      <c r="I49" s="88">
        <v>20</v>
      </c>
      <c r="J49" s="87"/>
      <c r="K49" s="1"/>
    </row>
    <row r="50" spans="1:11" x14ac:dyDescent="0.25">
      <c r="A50" s="1"/>
      <c r="B50" s="101" t="s">
        <v>117</v>
      </c>
      <c r="C50" s="88">
        <v>10</v>
      </c>
      <c r="D50" s="88">
        <v>12</v>
      </c>
      <c r="E50" s="88">
        <v>8</v>
      </c>
      <c r="F50" s="87"/>
      <c r="G50" s="88">
        <v>3</v>
      </c>
      <c r="H50" s="88">
        <f t="shared" si="0"/>
        <v>27</v>
      </c>
      <c r="I50" s="88">
        <v>20</v>
      </c>
      <c r="J50" s="87"/>
      <c r="K50" s="1"/>
    </row>
    <row r="51" spans="1:11" x14ac:dyDescent="0.25">
      <c r="A51" s="1"/>
      <c r="B51" s="101" t="s">
        <v>118</v>
      </c>
      <c r="C51" s="88">
        <v>10</v>
      </c>
      <c r="D51" s="88">
        <v>12</v>
      </c>
      <c r="E51" s="88">
        <v>8</v>
      </c>
      <c r="F51" s="87"/>
      <c r="G51" s="88">
        <v>3</v>
      </c>
      <c r="H51" s="88">
        <f t="shared" si="0"/>
        <v>27</v>
      </c>
      <c r="I51" s="88">
        <v>20</v>
      </c>
      <c r="J51" s="87"/>
      <c r="K51" s="1"/>
    </row>
    <row r="52" spans="1:11" x14ac:dyDescent="0.25">
      <c r="A52" s="1"/>
      <c r="B52" s="101" t="s">
        <v>119</v>
      </c>
      <c r="C52" s="88">
        <v>10</v>
      </c>
      <c r="D52" s="88">
        <v>12</v>
      </c>
      <c r="E52" s="88">
        <v>8</v>
      </c>
      <c r="F52" s="87"/>
      <c r="G52" s="88">
        <v>3</v>
      </c>
      <c r="H52" s="88">
        <f t="shared" si="0"/>
        <v>27</v>
      </c>
      <c r="I52" s="88">
        <v>20</v>
      </c>
      <c r="J52" s="87"/>
      <c r="K52" s="1"/>
    </row>
    <row r="53" spans="1:11" x14ac:dyDescent="0.25">
      <c r="A53" s="1"/>
      <c r="B53" s="101" t="s">
        <v>120</v>
      </c>
      <c r="C53" s="88">
        <v>10</v>
      </c>
      <c r="D53" s="88">
        <v>12</v>
      </c>
      <c r="E53" s="88">
        <v>8</v>
      </c>
      <c r="F53" s="87"/>
      <c r="G53" s="88">
        <v>3</v>
      </c>
      <c r="H53" s="88">
        <f t="shared" si="0"/>
        <v>27</v>
      </c>
      <c r="I53" s="88">
        <v>20</v>
      </c>
      <c r="J53" s="87"/>
      <c r="K53" s="1"/>
    </row>
    <row r="54" spans="1:11" x14ac:dyDescent="0.25">
      <c r="A54" s="1"/>
      <c r="B54" s="101" t="s">
        <v>121</v>
      </c>
      <c r="C54" s="88">
        <v>10</v>
      </c>
      <c r="D54" s="88">
        <v>12</v>
      </c>
      <c r="E54" s="88">
        <v>8</v>
      </c>
      <c r="F54" s="87"/>
      <c r="G54" s="88">
        <v>3</v>
      </c>
      <c r="H54" s="88">
        <f t="shared" si="0"/>
        <v>27</v>
      </c>
      <c r="I54" s="88">
        <v>20</v>
      </c>
      <c r="J54" s="87"/>
      <c r="K54" s="1"/>
    </row>
    <row r="55" spans="1:11" x14ac:dyDescent="0.25">
      <c r="A55" s="1"/>
      <c r="B55" s="101" t="s">
        <v>122</v>
      </c>
      <c r="C55" s="88">
        <v>10</v>
      </c>
      <c r="D55" s="88">
        <v>12</v>
      </c>
      <c r="E55" s="88">
        <v>8</v>
      </c>
      <c r="F55" s="87"/>
      <c r="G55" s="88">
        <v>3</v>
      </c>
      <c r="H55" s="88">
        <f t="shared" si="0"/>
        <v>27</v>
      </c>
      <c r="I55" s="88">
        <v>20</v>
      </c>
      <c r="J55" s="87"/>
      <c r="K55" s="1"/>
    </row>
    <row r="56" spans="1:11" x14ac:dyDescent="0.25">
      <c r="A56" s="1"/>
      <c r="B56" s="101" t="s">
        <v>123</v>
      </c>
      <c r="C56" s="88">
        <v>10</v>
      </c>
      <c r="D56" s="88">
        <v>12</v>
      </c>
      <c r="E56" s="88">
        <v>8</v>
      </c>
      <c r="F56" s="87"/>
      <c r="G56" s="88">
        <v>3</v>
      </c>
      <c r="H56" s="88">
        <f t="shared" si="0"/>
        <v>27</v>
      </c>
      <c r="I56" s="88">
        <v>20</v>
      </c>
      <c r="J56" s="87"/>
      <c r="K56" s="1"/>
    </row>
    <row r="57" spans="1:11" x14ac:dyDescent="0.25">
      <c r="A57" s="1"/>
      <c r="B57" s="101" t="s">
        <v>124</v>
      </c>
      <c r="C57" s="88">
        <v>10</v>
      </c>
      <c r="D57" s="88">
        <v>12</v>
      </c>
      <c r="E57" s="88">
        <v>8</v>
      </c>
      <c r="F57" s="87"/>
      <c r="G57" s="88">
        <v>3</v>
      </c>
      <c r="H57" s="88">
        <f t="shared" si="0"/>
        <v>27</v>
      </c>
      <c r="I57" s="88">
        <v>20</v>
      </c>
      <c r="J57" s="87"/>
      <c r="K57" s="1"/>
    </row>
    <row r="58" spans="1:11" x14ac:dyDescent="0.25">
      <c r="A58" s="1"/>
      <c r="B58" s="101" t="s">
        <v>125</v>
      </c>
      <c r="C58" s="88">
        <v>10</v>
      </c>
      <c r="D58" s="88">
        <v>12</v>
      </c>
      <c r="E58" s="88">
        <v>8</v>
      </c>
      <c r="F58" s="87"/>
      <c r="G58" s="88">
        <v>3</v>
      </c>
      <c r="H58" s="88">
        <f t="shared" si="0"/>
        <v>27</v>
      </c>
      <c r="I58" s="88">
        <v>20</v>
      </c>
      <c r="J58" s="87"/>
      <c r="K58" s="1"/>
    </row>
    <row r="59" spans="1:11" x14ac:dyDescent="0.25">
      <c r="A59" s="1"/>
      <c r="B59" s="101" t="s">
        <v>126</v>
      </c>
      <c r="C59" s="88">
        <v>10</v>
      </c>
      <c r="D59" s="88">
        <v>12</v>
      </c>
      <c r="E59" s="88">
        <v>8</v>
      </c>
      <c r="F59" s="87"/>
      <c r="G59" s="88">
        <v>3</v>
      </c>
      <c r="H59" s="88">
        <f t="shared" si="0"/>
        <v>27</v>
      </c>
      <c r="I59" s="88">
        <v>20</v>
      </c>
      <c r="J59" s="87"/>
      <c r="K59" s="1"/>
    </row>
    <row r="60" spans="1:11" x14ac:dyDescent="0.25">
      <c r="A60" s="1"/>
      <c r="B60" s="101" t="s">
        <v>127</v>
      </c>
      <c r="C60" s="88">
        <v>10</v>
      </c>
      <c r="D60" s="88">
        <v>12</v>
      </c>
      <c r="E60" s="88">
        <v>8</v>
      </c>
      <c r="F60" s="87"/>
      <c r="G60" s="88">
        <v>3</v>
      </c>
      <c r="H60" s="88">
        <f t="shared" si="0"/>
        <v>27</v>
      </c>
      <c r="I60" s="88">
        <v>20</v>
      </c>
      <c r="J60" s="87"/>
      <c r="K60" s="1"/>
    </row>
    <row r="61" spans="1:11" x14ac:dyDescent="0.25">
      <c r="A61" s="1"/>
      <c r="B61" s="101" t="s">
        <v>128</v>
      </c>
      <c r="C61" s="88">
        <v>10</v>
      </c>
      <c r="D61" s="88">
        <v>20</v>
      </c>
      <c r="E61" s="88">
        <v>8</v>
      </c>
      <c r="F61" s="87"/>
      <c r="G61" s="88">
        <v>7</v>
      </c>
      <c r="H61" s="88">
        <f t="shared" si="0"/>
        <v>23</v>
      </c>
      <c r="I61" s="88">
        <v>20</v>
      </c>
      <c r="J61" s="87"/>
      <c r="K61" s="1"/>
    </row>
    <row r="62" spans="1:11" x14ac:dyDescent="0.25">
      <c r="A62" s="1"/>
      <c r="B62" s="101" t="s">
        <v>129</v>
      </c>
      <c r="C62" s="88">
        <v>10</v>
      </c>
      <c r="D62" s="88">
        <v>20</v>
      </c>
      <c r="E62" s="88">
        <v>8</v>
      </c>
      <c r="F62" s="87"/>
      <c r="G62" s="88">
        <v>7</v>
      </c>
      <c r="H62" s="88">
        <f t="shared" si="0"/>
        <v>23</v>
      </c>
      <c r="I62" s="88">
        <v>20</v>
      </c>
      <c r="J62" s="87"/>
      <c r="K62" s="1"/>
    </row>
    <row r="63" spans="1:11" x14ac:dyDescent="0.25">
      <c r="A63" s="1"/>
      <c r="B63" s="101" t="s">
        <v>130</v>
      </c>
      <c r="C63" s="88">
        <v>10</v>
      </c>
      <c r="D63" s="88">
        <v>20</v>
      </c>
      <c r="E63" s="88">
        <v>8</v>
      </c>
      <c r="F63" s="87"/>
      <c r="G63" s="88">
        <v>7</v>
      </c>
      <c r="H63" s="88">
        <f t="shared" si="0"/>
        <v>23</v>
      </c>
      <c r="I63" s="88">
        <v>20</v>
      </c>
      <c r="J63" s="87"/>
      <c r="K63" s="1"/>
    </row>
    <row r="64" spans="1:11" x14ac:dyDescent="0.25">
      <c r="A64" s="1"/>
      <c r="B64" s="101" t="s">
        <v>131</v>
      </c>
      <c r="C64" s="88">
        <v>10</v>
      </c>
      <c r="D64" s="88">
        <v>20</v>
      </c>
      <c r="E64" s="88">
        <v>8</v>
      </c>
      <c r="F64" s="87"/>
      <c r="G64" s="88">
        <v>7</v>
      </c>
      <c r="H64" s="88">
        <f t="shared" si="0"/>
        <v>23</v>
      </c>
      <c r="I64" s="88">
        <v>20</v>
      </c>
      <c r="J64" s="87"/>
      <c r="K64" s="1"/>
    </row>
    <row r="65" spans="1:11" x14ac:dyDescent="0.25">
      <c r="A65" s="1"/>
      <c r="B65" s="101" t="s">
        <v>132</v>
      </c>
      <c r="C65" s="88">
        <v>10</v>
      </c>
      <c r="D65" s="88">
        <v>20</v>
      </c>
      <c r="E65" s="88">
        <v>8</v>
      </c>
      <c r="F65" s="87"/>
      <c r="G65" s="88">
        <v>7</v>
      </c>
      <c r="H65" s="88">
        <f t="shared" si="0"/>
        <v>23</v>
      </c>
      <c r="I65" s="88">
        <v>20</v>
      </c>
      <c r="J65" s="87"/>
      <c r="K65" s="1"/>
    </row>
    <row r="66" spans="1:11" x14ac:dyDescent="0.25">
      <c r="A66" s="1"/>
      <c r="B66" s="101" t="s">
        <v>133</v>
      </c>
      <c r="C66" s="88">
        <v>10</v>
      </c>
      <c r="D66" s="88">
        <v>20</v>
      </c>
      <c r="E66" s="88">
        <v>8</v>
      </c>
      <c r="F66" s="87"/>
      <c r="G66" s="88">
        <v>7</v>
      </c>
      <c r="H66" s="88">
        <f t="shared" si="0"/>
        <v>23</v>
      </c>
      <c r="I66" s="88">
        <v>20</v>
      </c>
      <c r="J66" s="87"/>
      <c r="K66" s="1"/>
    </row>
    <row r="67" spans="1:11" x14ac:dyDescent="0.25">
      <c r="A67" s="1"/>
      <c r="B67" s="101" t="s">
        <v>134</v>
      </c>
      <c r="C67" s="88">
        <v>10</v>
      </c>
      <c r="D67" s="88">
        <v>20</v>
      </c>
      <c r="E67" s="88">
        <v>8</v>
      </c>
      <c r="F67" s="87"/>
      <c r="G67" s="88">
        <v>7</v>
      </c>
      <c r="H67" s="88">
        <f t="shared" si="0"/>
        <v>23</v>
      </c>
      <c r="I67" s="88">
        <v>20</v>
      </c>
      <c r="J67" s="87"/>
      <c r="K67" s="1"/>
    </row>
    <row r="68" spans="1:11" x14ac:dyDescent="0.25">
      <c r="A68" s="1"/>
      <c r="B68" s="101" t="s">
        <v>135</v>
      </c>
      <c r="C68" s="88">
        <v>10</v>
      </c>
      <c r="D68" s="88">
        <v>20</v>
      </c>
      <c r="E68" s="88">
        <v>8</v>
      </c>
      <c r="F68" s="87"/>
      <c r="G68" s="88">
        <v>7</v>
      </c>
      <c r="H68" s="88">
        <f t="shared" si="0"/>
        <v>23</v>
      </c>
      <c r="I68" s="88">
        <v>20</v>
      </c>
      <c r="J68" s="87"/>
      <c r="K68" s="1"/>
    </row>
    <row r="69" spans="1:11" x14ac:dyDescent="0.25">
      <c r="A69" s="1"/>
      <c r="B69" s="101" t="s">
        <v>136</v>
      </c>
      <c r="C69" s="88">
        <v>10</v>
      </c>
      <c r="D69" s="88">
        <v>20</v>
      </c>
      <c r="E69" s="88">
        <v>8</v>
      </c>
      <c r="F69" s="87"/>
      <c r="G69" s="88">
        <v>7</v>
      </c>
      <c r="H69" s="88">
        <f t="shared" si="0"/>
        <v>23</v>
      </c>
      <c r="I69" s="88">
        <v>20</v>
      </c>
      <c r="J69" s="87"/>
      <c r="K69" s="1"/>
    </row>
    <row r="70" spans="1:11" x14ac:dyDescent="0.25">
      <c r="A70" s="1"/>
      <c r="B70" s="101" t="s">
        <v>137</v>
      </c>
      <c r="C70" s="88">
        <v>10</v>
      </c>
      <c r="D70" s="88">
        <v>20</v>
      </c>
      <c r="E70" s="88">
        <v>8</v>
      </c>
      <c r="F70" s="87"/>
      <c r="G70" s="88">
        <v>7</v>
      </c>
      <c r="H70" s="88">
        <f t="shared" ref="H70:H100" si="1">30-G70</f>
        <v>23</v>
      </c>
      <c r="I70" s="88">
        <v>20</v>
      </c>
      <c r="J70" s="87"/>
      <c r="K70" s="1"/>
    </row>
    <row r="71" spans="1:11" x14ac:dyDescent="0.25">
      <c r="A71" s="1"/>
      <c r="B71" s="101" t="s">
        <v>138</v>
      </c>
      <c r="C71" s="88">
        <v>10</v>
      </c>
      <c r="D71" s="88">
        <v>20</v>
      </c>
      <c r="E71" s="88">
        <v>8</v>
      </c>
      <c r="F71" s="87"/>
      <c r="G71" s="88">
        <v>7</v>
      </c>
      <c r="H71" s="88">
        <f t="shared" si="1"/>
        <v>23</v>
      </c>
      <c r="I71" s="88">
        <v>20</v>
      </c>
      <c r="J71" s="87"/>
      <c r="K71" s="1"/>
    </row>
    <row r="72" spans="1:11" x14ac:dyDescent="0.25">
      <c r="A72" s="1"/>
      <c r="B72" s="101" t="s">
        <v>139</v>
      </c>
      <c r="C72" s="88">
        <v>10</v>
      </c>
      <c r="D72" s="88">
        <v>20</v>
      </c>
      <c r="E72" s="88">
        <v>8</v>
      </c>
      <c r="F72" s="87"/>
      <c r="G72" s="88">
        <v>7</v>
      </c>
      <c r="H72" s="88">
        <f t="shared" si="1"/>
        <v>23</v>
      </c>
      <c r="I72" s="88">
        <v>20</v>
      </c>
      <c r="J72" s="87"/>
      <c r="K72" s="1"/>
    </row>
    <row r="73" spans="1:11" x14ac:dyDescent="0.25">
      <c r="A73" s="1"/>
      <c r="B73" s="101" t="s">
        <v>140</v>
      </c>
      <c r="C73" s="88">
        <v>10</v>
      </c>
      <c r="D73" s="88">
        <v>20</v>
      </c>
      <c r="E73" s="88">
        <v>8</v>
      </c>
      <c r="F73" s="87"/>
      <c r="G73" s="88">
        <v>7</v>
      </c>
      <c r="H73" s="88">
        <f t="shared" si="1"/>
        <v>23</v>
      </c>
      <c r="I73" s="88">
        <v>20</v>
      </c>
      <c r="J73" s="87"/>
      <c r="K73" s="1"/>
    </row>
    <row r="74" spans="1:11" x14ac:dyDescent="0.25">
      <c r="A74" s="1"/>
      <c r="B74" s="101" t="s">
        <v>141</v>
      </c>
      <c r="C74" s="88">
        <v>10</v>
      </c>
      <c r="D74" s="88">
        <v>20</v>
      </c>
      <c r="E74" s="88">
        <v>8</v>
      </c>
      <c r="F74" s="87"/>
      <c r="G74" s="88">
        <v>7</v>
      </c>
      <c r="H74" s="88">
        <f t="shared" si="1"/>
        <v>23</v>
      </c>
      <c r="I74" s="88">
        <v>20</v>
      </c>
      <c r="J74" s="87"/>
      <c r="K74" s="1"/>
    </row>
    <row r="75" spans="1:11" x14ac:dyDescent="0.25">
      <c r="A75" s="1"/>
      <c r="B75" s="101" t="s">
        <v>142</v>
      </c>
      <c r="C75" s="88">
        <v>10</v>
      </c>
      <c r="D75" s="88">
        <v>20</v>
      </c>
      <c r="E75" s="88">
        <v>8</v>
      </c>
      <c r="F75" s="87"/>
      <c r="G75" s="88">
        <v>7</v>
      </c>
      <c r="H75" s="88">
        <f t="shared" si="1"/>
        <v>23</v>
      </c>
      <c r="I75" s="88">
        <v>20</v>
      </c>
      <c r="J75" s="87"/>
      <c r="K75" s="1"/>
    </row>
    <row r="76" spans="1:11" x14ac:dyDescent="0.25">
      <c r="A76" s="1"/>
      <c r="B76" s="101" t="s">
        <v>143</v>
      </c>
      <c r="C76" s="88">
        <v>10</v>
      </c>
      <c r="D76" s="88">
        <v>20</v>
      </c>
      <c r="E76" s="88">
        <v>8</v>
      </c>
      <c r="F76" s="87"/>
      <c r="G76" s="88">
        <v>7</v>
      </c>
      <c r="H76" s="88">
        <f t="shared" si="1"/>
        <v>23</v>
      </c>
      <c r="I76" s="88">
        <v>20</v>
      </c>
      <c r="J76" s="87"/>
      <c r="K76" s="1"/>
    </row>
    <row r="77" spans="1:11" x14ac:dyDescent="0.25">
      <c r="A77" s="1"/>
      <c r="B77" s="101" t="s">
        <v>144</v>
      </c>
      <c r="C77" s="88">
        <v>4</v>
      </c>
      <c r="D77" s="88">
        <v>20</v>
      </c>
      <c r="E77" s="88">
        <v>0</v>
      </c>
      <c r="F77" s="87"/>
      <c r="G77" s="88">
        <v>7</v>
      </c>
      <c r="H77" s="88">
        <f t="shared" si="1"/>
        <v>23</v>
      </c>
      <c r="I77" s="88">
        <v>20</v>
      </c>
      <c r="J77" s="87"/>
      <c r="K77" s="1"/>
    </row>
    <row r="78" spans="1:11" x14ac:dyDescent="0.25">
      <c r="A78" s="1"/>
      <c r="B78" s="101" t="s">
        <v>145</v>
      </c>
      <c r="C78" s="88">
        <v>4</v>
      </c>
      <c r="D78" s="88">
        <v>20</v>
      </c>
      <c r="E78" s="88">
        <v>0</v>
      </c>
      <c r="F78" s="87"/>
      <c r="G78" s="88">
        <v>7</v>
      </c>
      <c r="H78" s="88">
        <f t="shared" si="1"/>
        <v>23</v>
      </c>
      <c r="I78" s="88">
        <v>20</v>
      </c>
      <c r="J78" s="87"/>
      <c r="K78" s="1"/>
    </row>
    <row r="79" spans="1:11" x14ac:dyDescent="0.25">
      <c r="A79" s="1"/>
      <c r="B79" s="101" t="s">
        <v>146</v>
      </c>
      <c r="C79" s="88">
        <v>4</v>
      </c>
      <c r="D79" s="88">
        <v>20</v>
      </c>
      <c r="E79" s="88">
        <v>0</v>
      </c>
      <c r="F79" s="87"/>
      <c r="G79" s="88">
        <v>7</v>
      </c>
      <c r="H79" s="88">
        <f t="shared" si="1"/>
        <v>23</v>
      </c>
      <c r="I79" s="88">
        <v>20</v>
      </c>
      <c r="J79" s="87"/>
      <c r="K79" s="1"/>
    </row>
    <row r="80" spans="1:11" x14ac:dyDescent="0.25">
      <c r="A80" s="1"/>
      <c r="B80" s="101" t="s">
        <v>147</v>
      </c>
      <c r="C80" s="88">
        <v>4</v>
      </c>
      <c r="D80" s="88">
        <v>20</v>
      </c>
      <c r="E80" s="88">
        <v>0</v>
      </c>
      <c r="F80" s="87"/>
      <c r="G80" s="88">
        <v>7</v>
      </c>
      <c r="H80" s="88">
        <f t="shared" si="1"/>
        <v>23</v>
      </c>
      <c r="I80" s="88">
        <v>20</v>
      </c>
      <c r="J80" s="87"/>
      <c r="K80" s="1"/>
    </row>
    <row r="81" spans="1:11" x14ac:dyDescent="0.25">
      <c r="A81" s="1"/>
      <c r="B81" s="101" t="s">
        <v>148</v>
      </c>
      <c r="C81" s="88">
        <v>4</v>
      </c>
      <c r="D81" s="88">
        <v>8</v>
      </c>
      <c r="E81" s="88">
        <v>0</v>
      </c>
      <c r="F81" s="87"/>
      <c r="G81" s="88">
        <v>7</v>
      </c>
      <c r="H81" s="88">
        <f t="shared" si="1"/>
        <v>23</v>
      </c>
      <c r="I81" s="88">
        <v>20</v>
      </c>
      <c r="J81" s="87"/>
      <c r="K81" s="1"/>
    </row>
    <row r="82" spans="1:11" x14ac:dyDescent="0.25">
      <c r="A82" s="1"/>
      <c r="B82" s="101" t="s">
        <v>149</v>
      </c>
      <c r="C82" s="88">
        <v>4</v>
      </c>
      <c r="D82" s="88">
        <v>8</v>
      </c>
      <c r="E82" s="88">
        <v>0</v>
      </c>
      <c r="F82" s="87"/>
      <c r="G82" s="88">
        <v>7</v>
      </c>
      <c r="H82" s="88">
        <f t="shared" si="1"/>
        <v>23</v>
      </c>
      <c r="I82" s="88">
        <v>20</v>
      </c>
      <c r="J82" s="87"/>
      <c r="K82" s="1"/>
    </row>
    <row r="83" spans="1:11" x14ac:dyDescent="0.25">
      <c r="A83" s="1"/>
      <c r="B83" s="101" t="s">
        <v>150</v>
      </c>
      <c r="C83" s="88">
        <v>4</v>
      </c>
      <c r="D83" s="88">
        <v>8</v>
      </c>
      <c r="E83" s="88">
        <v>0</v>
      </c>
      <c r="F83" s="87"/>
      <c r="G83" s="88">
        <v>7</v>
      </c>
      <c r="H83" s="88">
        <f t="shared" si="1"/>
        <v>23</v>
      </c>
      <c r="I83" s="88">
        <v>20</v>
      </c>
      <c r="J83" s="87"/>
      <c r="K83" s="1"/>
    </row>
    <row r="84" spans="1:11" x14ac:dyDescent="0.25">
      <c r="A84" s="1"/>
      <c r="B84" s="101" t="s">
        <v>151</v>
      </c>
      <c r="C84" s="88">
        <v>4</v>
      </c>
      <c r="D84" s="88">
        <v>8</v>
      </c>
      <c r="E84" s="88">
        <v>0</v>
      </c>
      <c r="F84" s="87"/>
      <c r="G84" s="88">
        <v>7</v>
      </c>
      <c r="H84" s="88">
        <f t="shared" si="1"/>
        <v>23</v>
      </c>
      <c r="I84" s="88">
        <v>20</v>
      </c>
      <c r="J84" s="87"/>
      <c r="K84" s="1"/>
    </row>
    <row r="85" spans="1:11" x14ac:dyDescent="0.25">
      <c r="A85" s="1"/>
      <c r="B85" s="101" t="s">
        <v>152</v>
      </c>
      <c r="C85" s="88">
        <v>4</v>
      </c>
      <c r="D85" s="88">
        <v>8</v>
      </c>
      <c r="E85" s="88">
        <v>0</v>
      </c>
      <c r="F85" s="87"/>
      <c r="G85" s="88">
        <v>7</v>
      </c>
      <c r="H85" s="88">
        <f t="shared" si="1"/>
        <v>23</v>
      </c>
      <c r="I85" s="88">
        <v>20</v>
      </c>
      <c r="J85" s="87"/>
      <c r="K85" s="1"/>
    </row>
    <row r="86" spans="1:11" x14ac:dyDescent="0.25">
      <c r="A86" s="1"/>
      <c r="B86" s="101" t="s">
        <v>153</v>
      </c>
      <c r="C86" s="88">
        <v>4</v>
      </c>
      <c r="D86" s="88">
        <v>8</v>
      </c>
      <c r="E86" s="88">
        <v>0</v>
      </c>
      <c r="F86" s="87"/>
      <c r="G86" s="88">
        <v>7</v>
      </c>
      <c r="H86" s="88">
        <f t="shared" si="1"/>
        <v>23</v>
      </c>
      <c r="I86" s="88">
        <v>20</v>
      </c>
      <c r="J86" s="87"/>
      <c r="K86" s="1"/>
    </row>
    <row r="87" spans="1:11" x14ac:dyDescent="0.25">
      <c r="A87" s="1"/>
      <c r="B87" s="101" t="s">
        <v>154</v>
      </c>
      <c r="C87" s="88">
        <v>4</v>
      </c>
      <c r="D87" s="88">
        <v>8</v>
      </c>
      <c r="E87" s="88">
        <v>0</v>
      </c>
      <c r="F87" s="87"/>
      <c r="G87" s="88">
        <v>7</v>
      </c>
      <c r="H87" s="88">
        <f t="shared" si="1"/>
        <v>23</v>
      </c>
      <c r="I87" s="88">
        <v>20</v>
      </c>
      <c r="J87" s="87"/>
      <c r="K87" s="1"/>
    </row>
    <row r="88" spans="1:11" x14ac:dyDescent="0.25">
      <c r="A88" s="1"/>
      <c r="B88" s="101" t="s">
        <v>155</v>
      </c>
      <c r="C88" s="88">
        <v>4</v>
      </c>
      <c r="D88" s="88">
        <v>8</v>
      </c>
      <c r="E88" s="88">
        <v>0</v>
      </c>
      <c r="F88" s="87"/>
      <c r="G88" s="88">
        <v>7</v>
      </c>
      <c r="H88" s="88">
        <f t="shared" si="1"/>
        <v>23</v>
      </c>
      <c r="I88" s="88">
        <v>20</v>
      </c>
      <c r="J88" s="87"/>
      <c r="K88" s="1"/>
    </row>
    <row r="89" spans="1:11" x14ac:dyDescent="0.25">
      <c r="A89" s="1"/>
      <c r="B89" s="101" t="s">
        <v>156</v>
      </c>
      <c r="C89" s="88">
        <v>4</v>
      </c>
      <c r="D89" s="88">
        <v>8</v>
      </c>
      <c r="E89" s="88">
        <v>0</v>
      </c>
      <c r="F89" s="87"/>
      <c r="G89" s="88">
        <v>7</v>
      </c>
      <c r="H89" s="88">
        <f t="shared" si="1"/>
        <v>23</v>
      </c>
      <c r="I89" s="88">
        <v>20</v>
      </c>
      <c r="J89" s="87"/>
      <c r="K89" s="1"/>
    </row>
    <row r="90" spans="1:11" x14ac:dyDescent="0.25">
      <c r="A90" s="1"/>
      <c r="B90" s="101" t="s">
        <v>157</v>
      </c>
      <c r="C90" s="88">
        <v>4</v>
      </c>
      <c r="D90" s="88">
        <v>8</v>
      </c>
      <c r="E90" s="88">
        <v>0</v>
      </c>
      <c r="F90" s="87"/>
      <c r="G90" s="88">
        <v>7</v>
      </c>
      <c r="H90" s="88">
        <f t="shared" si="1"/>
        <v>23</v>
      </c>
      <c r="I90" s="88">
        <v>20</v>
      </c>
      <c r="J90" s="87"/>
      <c r="K90" s="1"/>
    </row>
    <row r="91" spans="1:11" x14ac:dyDescent="0.25">
      <c r="A91" s="1"/>
      <c r="B91" s="101" t="s">
        <v>158</v>
      </c>
      <c r="C91" s="88">
        <v>4</v>
      </c>
      <c r="D91" s="88">
        <v>8</v>
      </c>
      <c r="E91" s="88">
        <v>0</v>
      </c>
      <c r="F91" s="87"/>
      <c r="G91" s="88">
        <v>7</v>
      </c>
      <c r="H91" s="88">
        <f t="shared" si="1"/>
        <v>23</v>
      </c>
      <c r="I91" s="88">
        <v>20</v>
      </c>
      <c r="J91" s="87"/>
      <c r="K91" s="1"/>
    </row>
    <row r="92" spans="1:11" x14ac:dyDescent="0.25">
      <c r="A92" s="1"/>
      <c r="B92" s="101" t="s">
        <v>159</v>
      </c>
      <c r="C92" s="88">
        <v>4</v>
      </c>
      <c r="D92" s="88">
        <v>8</v>
      </c>
      <c r="E92" s="88">
        <v>0</v>
      </c>
      <c r="F92" s="87"/>
      <c r="G92" s="88">
        <v>7</v>
      </c>
      <c r="H92" s="88">
        <f t="shared" si="1"/>
        <v>23</v>
      </c>
      <c r="I92" s="88">
        <v>20</v>
      </c>
      <c r="J92" s="87"/>
      <c r="K92" s="1"/>
    </row>
    <row r="93" spans="1:11" x14ac:dyDescent="0.25">
      <c r="A93" s="1"/>
      <c r="B93" s="101" t="s">
        <v>160</v>
      </c>
      <c r="C93" s="88">
        <v>4</v>
      </c>
      <c r="D93" s="88">
        <v>8</v>
      </c>
      <c r="E93" s="88">
        <v>0</v>
      </c>
      <c r="F93" s="87"/>
      <c r="G93" s="88">
        <v>10</v>
      </c>
      <c r="H93" s="88">
        <f t="shared" si="1"/>
        <v>20</v>
      </c>
      <c r="I93" s="88">
        <v>20</v>
      </c>
      <c r="J93" s="87"/>
      <c r="K93" s="1"/>
    </row>
    <row r="94" spans="1:11" x14ac:dyDescent="0.25">
      <c r="A94" s="1"/>
      <c r="B94" s="101" t="s">
        <v>161</v>
      </c>
      <c r="C94" s="88">
        <v>4</v>
      </c>
      <c r="D94" s="88">
        <v>8</v>
      </c>
      <c r="E94" s="88">
        <v>0</v>
      </c>
      <c r="F94" s="87"/>
      <c r="G94" s="88">
        <v>10</v>
      </c>
      <c r="H94" s="88">
        <f t="shared" si="1"/>
        <v>20</v>
      </c>
      <c r="I94" s="88">
        <v>20</v>
      </c>
      <c r="J94" s="87"/>
      <c r="K94" s="1"/>
    </row>
    <row r="95" spans="1:11" x14ac:dyDescent="0.25">
      <c r="A95" s="1"/>
      <c r="B95" s="101" t="s">
        <v>162</v>
      </c>
      <c r="C95" s="88">
        <v>4</v>
      </c>
      <c r="D95" s="88">
        <v>8</v>
      </c>
      <c r="E95" s="88">
        <v>0</v>
      </c>
      <c r="F95" s="87"/>
      <c r="G95" s="88">
        <v>10</v>
      </c>
      <c r="H95" s="88">
        <f t="shared" si="1"/>
        <v>20</v>
      </c>
      <c r="I95" s="88">
        <v>20</v>
      </c>
      <c r="J95" s="87"/>
      <c r="K95" s="1"/>
    </row>
    <row r="96" spans="1:11" x14ac:dyDescent="0.25">
      <c r="A96" s="1"/>
      <c r="B96" s="101" t="s">
        <v>163</v>
      </c>
      <c r="C96" s="88">
        <v>4</v>
      </c>
      <c r="D96" s="88">
        <v>8</v>
      </c>
      <c r="E96" s="88">
        <v>0</v>
      </c>
      <c r="F96" s="87"/>
      <c r="G96" s="88">
        <v>10</v>
      </c>
      <c r="H96" s="88">
        <f t="shared" si="1"/>
        <v>20</v>
      </c>
      <c r="I96" s="88">
        <v>20</v>
      </c>
      <c r="J96" s="87"/>
      <c r="K96" s="1"/>
    </row>
    <row r="97" spans="1:11" x14ac:dyDescent="0.25">
      <c r="A97" s="1"/>
      <c r="B97" s="101" t="s">
        <v>164</v>
      </c>
      <c r="C97" s="88">
        <v>4</v>
      </c>
      <c r="D97" s="88">
        <v>8</v>
      </c>
      <c r="E97" s="88">
        <v>8</v>
      </c>
      <c r="F97" s="87"/>
      <c r="G97" s="88">
        <v>10</v>
      </c>
      <c r="H97" s="88">
        <f t="shared" si="1"/>
        <v>20</v>
      </c>
      <c r="I97" s="88">
        <v>20</v>
      </c>
      <c r="J97" s="87"/>
      <c r="K97" s="1"/>
    </row>
    <row r="98" spans="1:11" x14ac:dyDescent="0.25">
      <c r="A98" s="1"/>
      <c r="B98" s="101" t="s">
        <v>165</v>
      </c>
      <c r="C98" s="88">
        <v>4</v>
      </c>
      <c r="D98" s="88">
        <v>8</v>
      </c>
      <c r="E98" s="88">
        <v>8</v>
      </c>
      <c r="F98" s="87"/>
      <c r="G98" s="88">
        <v>10</v>
      </c>
      <c r="H98" s="88">
        <f t="shared" si="1"/>
        <v>20</v>
      </c>
      <c r="I98" s="88">
        <v>20</v>
      </c>
      <c r="J98" s="87"/>
      <c r="K98" s="1"/>
    </row>
    <row r="99" spans="1:11" x14ac:dyDescent="0.25">
      <c r="A99" s="1"/>
      <c r="B99" s="101" t="s">
        <v>166</v>
      </c>
      <c r="C99" s="88">
        <v>4</v>
      </c>
      <c r="D99" s="88">
        <v>8</v>
      </c>
      <c r="E99" s="88">
        <v>8</v>
      </c>
      <c r="F99" s="87"/>
      <c r="G99" s="88">
        <v>10</v>
      </c>
      <c r="H99" s="88">
        <f t="shared" si="1"/>
        <v>20</v>
      </c>
      <c r="I99" s="88">
        <v>20</v>
      </c>
      <c r="J99" s="87"/>
      <c r="K99" s="1"/>
    </row>
    <row r="100" spans="1:11" x14ac:dyDescent="0.25">
      <c r="A100" s="1"/>
      <c r="B100" s="101" t="s">
        <v>167</v>
      </c>
      <c r="C100" s="88">
        <v>4</v>
      </c>
      <c r="D100" s="88">
        <v>8</v>
      </c>
      <c r="E100" s="88">
        <v>8</v>
      </c>
      <c r="F100" s="87"/>
      <c r="G100" s="88">
        <v>10</v>
      </c>
      <c r="H100" s="88">
        <f t="shared" si="1"/>
        <v>20</v>
      </c>
      <c r="I100" s="88">
        <v>20</v>
      </c>
      <c r="J100" s="87"/>
      <c r="K100" s="1"/>
    </row>
    <row r="101" spans="1:1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conditionalFormatting sqref="C5:E100">
    <cfRule type="expression" dxfId="3" priority="4">
      <formula>C$4=""</formula>
    </cfRule>
  </conditionalFormatting>
  <conditionalFormatting sqref="C3:J100">
    <cfRule type="expression" dxfId="2" priority="2">
      <formula>$C$3=""</formula>
    </cfRule>
  </conditionalFormatting>
  <conditionalFormatting sqref="G5:I100">
    <cfRule type="expression" dxfId="1" priority="5">
      <formula>G$4=""</formula>
    </cfRule>
  </conditionalFormatting>
  <conditionalFormatting sqref="G3:J100">
    <cfRule type="expression" dxfId="0" priority="3">
      <formula>$G$3=""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CDC42-7CC0-F34D-A117-48731D5239CC}">
  <dimension ref="B3:F9"/>
  <sheetViews>
    <sheetView zoomScale="181" workbookViewId="0">
      <selection activeCell="F5" sqref="F5"/>
    </sheetView>
  </sheetViews>
  <sheetFormatPr defaultColWidth="11.42578125" defaultRowHeight="15" x14ac:dyDescent="0.25"/>
  <cols>
    <col min="5" max="5" width="43.7109375" bestFit="1" customWidth="1"/>
  </cols>
  <sheetData>
    <row r="3" spans="2:6" ht="15.75" thickBot="1" x14ac:dyDescent="0.3">
      <c r="B3" s="76" t="s">
        <v>4</v>
      </c>
      <c r="C3" s="77" t="s">
        <v>5</v>
      </c>
      <c r="D3" s="73" t="s">
        <v>46</v>
      </c>
    </row>
    <row r="4" spans="2:6" ht="15.75" thickTop="1" x14ac:dyDescent="0.25">
      <c r="B4" s="83" t="s">
        <v>45</v>
      </c>
      <c r="C4" s="84" t="s">
        <v>45</v>
      </c>
      <c r="D4" s="74" t="s">
        <v>70</v>
      </c>
      <c r="E4" s="9" t="s">
        <v>57</v>
      </c>
      <c r="F4" t="b">
        <f>OR(B4="yes",B4="no")</f>
        <v>1</v>
      </c>
    </row>
    <row r="5" spans="2:6" x14ac:dyDescent="0.25">
      <c r="B5" s="78" t="s">
        <v>45</v>
      </c>
      <c r="C5" s="79" t="s">
        <v>66</v>
      </c>
      <c r="D5" s="75" t="s">
        <v>70</v>
      </c>
    </row>
    <row r="6" spans="2:6" x14ac:dyDescent="0.25">
      <c r="B6" s="78" t="s">
        <v>66</v>
      </c>
      <c r="C6" s="79" t="s">
        <v>45</v>
      </c>
      <c r="D6" s="75" t="s">
        <v>70</v>
      </c>
    </row>
    <row r="7" spans="2:6" x14ac:dyDescent="0.25">
      <c r="B7" s="78" t="s">
        <v>66</v>
      </c>
      <c r="C7" s="79" t="s">
        <v>66</v>
      </c>
      <c r="D7" s="75" t="s">
        <v>70</v>
      </c>
    </row>
    <row r="8" spans="2:6" x14ac:dyDescent="0.25">
      <c r="B8" s="78" t="s">
        <v>70</v>
      </c>
      <c r="C8" s="79" t="s">
        <v>70</v>
      </c>
      <c r="D8" s="75" t="s">
        <v>45</v>
      </c>
    </row>
    <row r="9" spans="2:6" x14ac:dyDescent="0.25">
      <c r="B9" s="78" t="s">
        <v>70</v>
      </c>
      <c r="C9" s="79" t="s">
        <v>70</v>
      </c>
      <c r="D9" s="75" t="s">
        <v>66</v>
      </c>
    </row>
  </sheetData>
  <dataValidations count="2">
    <dataValidation type="list" showInputMessage="1" showErrorMessage="1" errorTitle="Invalid input" error="Please select yes, no or n/a" sqref="B4:B9" xr:uid="{6CECEBFD-B713-3B49-8FB3-9F4395F844BB}">
      <formula1>"yes,no,n/a"</formula1>
    </dataValidation>
    <dataValidation type="list" allowBlank="1" showInputMessage="1" showErrorMessage="1" errorTitle="Invalid input" error="Please select yes, no or n/a" sqref="C4:C9" xr:uid="{1F4E9732-D991-6142-B451-05D6CF5B3A52}">
      <formula1>"yes,no,n/a"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BESS_technical</vt:lpstr>
      <vt:lpstr>BESS_capacity_bids</vt:lpstr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KBaltputnis</dc:creator>
  <cp:lastModifiedBy>Kārlis Baltputnis</cp:lastModifiedBy>
  <dcterms:created xsi:type="dcterms:W3CDTF">2015-06-05T18:17:20Z</dcterms:created>
  <dcterms:modified xsi:type="dcterms:W3CDTF">2023-09-26T13:01:18Z</dcterms:modified>
</cp:coreProperties>
</file>